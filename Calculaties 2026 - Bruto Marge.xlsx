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zicht 2026" sheetId="1" state="visible" r:id="rId3"/>
    <sheet name="Co-intelligentie" sheetId="2" state="visible" r:id="rId4"/>
    <sheet name="Rechts verpest onze seks" sheetId="3" state="visible" r:id="rId5"/>
    <sheet name="7 regels van vertrouwen" sheetId="4" state="visible" r:id="rId6"/>
    <sheet name="Nieuwe tite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<sst xmlns="http://schemas.openxmlformats.org/spreadsheetml/2006/main" count="503" uniqueCount="96">
  <si>
    <t xml:space="preserve">MAVEN PUBLISHING</t>
  </si>
  <si>
    <t xml:space="preserve">Bruto Marge Overzicht — Titels 2026</t>
  </si>
  <si>
    <t xml:space="preserve">1E DRUK</t>
  </si>
  <si>
    <t xml:space="preserve">HERDRUK</t>
  </si>
  <si>
    <t xml:space="preserve">Titel</t>
  </si>
  <si>
    <t xml:space="preserve">Prijs incl BTW</t>
  </si>
  <si>
    <t xml:space="preserve">Oplage</t>
  </si>
  <si>
    <t xml:space="preserve">WS marge</t>
  </si>
  <si>
    <t xml:space="preserve">WS €/ex</t>
  </si>
  <si>
    <t xml:space="preserve">RT marge</t>
  </si>
  <si>
    <t xml:space="preserve">RT €/ex</t>
  </si>
  <si>
    <t xml:space="preserve">Co-intelligentie</t>
  </si>
  <si>
    <t xml:space="preserve">Rechts verpest onze seks</t>
  </si>
  <si>
    <t xml:space="preserve">7 regels van vertrouwen</t>
  </si>
  <si>
    <t xml:space="preserve">Nieuwe titel</t>
  </si>
  <si>
    <t xml:space="preserve">REDACTIE &amp; PRODUCTIE</t>
  </si>
  <si>
    <t xml:space="preserve">Post</t>
  </si>
  <si>
    <t xml:space="preserve">Begroot</t>
  </si>
  <si>
    <t xml:space="preserve">Gerealiseerd</t>
  </si>
  <si>
    <t xml:space="preserve">BASISGEGEVENS</t>
  </si>
  <si>
    <t xml:space="preserve">DEALSTRUCTUUR</t>
  </si>
  <si>
    <t xml:space="preserve">Freelance redactie</t>
  </si>
  <si>
    <t xml:space="preserve">Verkoopprijs incl BTW</t>
  </si>
  <si>
    <t xml:space="preserve">Royalty %</t>
  </si>
  <si>
    <t xml:space="preserve">Correctie</t>
  </si>
  <si>
    <t xml:space="preserve">BTW %</t>
  </si>
  <si>
    <t xml:space="preserve">Auteur winstdeling %</t>
  </si>
  <si>
    <t xml:space="preserve">Persklaarmaken</t>
  </si>
  <si>
    <t xml:space="preserve">Boekhandelskorting %</t>
  </si>
  <si>
    <t xml:space="preserve">Partner winstdeling %</t>
  </si>
  <si>
    <t xml:space="preserve">Vormgeving &amp; omslag</t>
  </si>
  <si>
    <t xml:space="preserve">Oplage 1e druk</t>
  </si>
  <si>
    <t xml:space="preserve">DTP</t>
  </si>
  <si>
    <t xml:space="preserve">E-book productie</t>
  </si>
  <si>
    <t xml:space="preserve">KOSTEN PER EXEMPLAAR</t>
  </si>
  <si>
    <t xml:space="preserve">Audiobook productie</t>
  </si>
  <si>
    <t xml:space="preserve">Drukkosten /ex (1e druk)</t>
  </si>
  <si>
    <t xml:space="preserve">Drukkosten 1e druk</t>
  </si>
  <si>
    <t xml:space="preserve">Drukkosten /ex (herdruk)</t>
  </si>
  <si>
    <t xml:space="preserve">Overige productie</t>
  </si>
  <si>
    <t xml:space="preserve">Fulfillment webshop /ex</t>
  </si>
  <si>
    <t xml:space="preserve">Distributie CB /ex</t>
  </si>
  <si>
    <t xml:space="preserve">Subtotaal excl. drukkosten</t>
  </si>
  <si>
    <t xml:space="preserve">Transactiekosten % (webshop)</t>
  </si>
  <si>
    <t xml:space="preserve">Totaal incl. drukkosten</t>
  </si>
  <si>
    <t xml:space="preserve">Vertaler %</t>
  </si>
  <si>
    <t xml:space="preserve">Per exemplaar (excl. druk)</t>
  </si>
  <si>
    <t xml:space="preserve">Agent %</t>
  </si>
  <si>
    <t xml:space="preserve">Adspend webshop /ex</t>
  </si>
  <si>
    <t xml:space="preserve">PR &amp; MARKETING</t>
  </si>
  <si>
    <t xml:space="preserve">Overige kosten %</t>
  </si>
  <si>
    <t xml:space="preserve">PR activiteiten</t>
  </si>
  <si>
    <t xml:space="preserve">Marketingmateriaal</t>
  </si>
  <si>
    <t xml:space="preserve">WEBSHOP</t>
  </si>
  <si>
    <t xml:space="preserve">RETAIL</t>
  </si>
  <si>
    <t xml:space="preserve">Evenementen</t>
  </si>
  <si>
    <t xml:space="preserve">Bedrag</t>
  </si>
  <si>
    <t xml:space="preserve">%</t>
  </si>
  <si>
    <t xml:space="preserve">Campagnes / advertenties</t>
  </si>
  <si>
    <t xml:space="preserve">Verkoopprijs ex BTW</t>
  </si>
  <si>
    <t xml:space="preserve">Overige marketing</t>
  </si>
  <si>
    <t xml:space="preserve">Boekhandelskorting</t>
  </si>
  <si>
    <t xml:space="preserve">Netto omzet</t>
  </si>
  <si>
    <t xml:space="preserve">Totaal PR &amp; Marketing</t>
  </si>
  <si>
    <t xml:space="preserve">Drukkosten</t>
  </si>
  <si>
    <t xml:space="preserve">Redactie &amp; productie /ex</t>
  </si>
  <si>
    <t xml:space="preserve">DRUKRUNS</t>
  </si>
  <si>
    <t xml:space="preserve">Fulfillment / B-Logic</t>
  </si>
  <si>
    <t xml:space="preserve">alleen webshop</t>
  </si>
  <si>
    <t xml:space="preserve">Run</t>
  </si>
  <si>
    <t xml:space="preserve">Aantal</t>
  </si>
  <si>
    <t xml:space="preserve">Kosten /ex</t>
  </si>
  <si>
    <t xml:space="preserve">Totaal</t>
  </si>
  <si>
    <t xml:space="preserve">Distributie CB</t>
  </si>
  <si>
    <t xml:space="preserve">alleen retail/CB</t>
  </si>
  <si>
    <t xml:space="preserve">1e druk</t>
  </si>
  <si>
    <t xml:space="preserve">Transactiekosten</t>
  </si>
  <si>
    <t xml:space="preserve">2e druk</t>
  </si>
  <si>
    <t xml:space="preserve">Adspend</t>
  </si>
  <si>
    <t xml:space="preserve">3e druk</t>
  </si>
  <si>
    <t xml:space="preserve">Vertaler</t>
  </si>
  <si>
    <t xml:space="preserve">4e druk</t>
  </si>
  <si>
    <t xml:space="preserve">Agent</t>
  </si>
  <si>
    <t xml:space="preserve">5e druk</t>
  </si>
  <si>
    <t xml:space="preserve">Overige kosten</t>
  </si>
  <si>
    <t xml:space="preserve">Totaal kosten</t>
  </si>
  <si>
    <t xml:space="preserve">Totaal exemplaren</t>
  </si>
  <si>
    <t xml:space="preserve">Gem. drukkosten /ex</t>
  </si>
  <si>
    <t xml:space="preserve">Brutowinst</t>
  </si>
  <si>
    <t xml:space="preserve">Royalty</t>
  </si>
  <si>
    <t xml:space="preserve">% van prijs ex BTW</t>
  </si>
  <si>
    <t xml:space="preserve">Auteur winstdeling</t>
  </si>
  <si>
    <t xml:space="preserve">% van winst na royalty</t>
  </si>
  <si>
    <t xml:space="preserve">Partner winstdeling</t>
  </si>
  <si>
    <t xml:space="preserve">Netto winst Maven</t>
  </si>
  <si>
    <t xml:space="preserve">0 bij herdruk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</si>
</sst>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€#,##0.00;&quot;(€&quot;#,##0.00\);\-"/>
    <numFmt numFmtId="166" formatCode="#,##0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4472C4"/>
        <bgColor rgb="FF66666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"/>
    <col collapsed="false" customWidth="true" hidden="false" outlineLevel="0" max="8" min="5" style="0" width="14"/>
    <col collapsed="false" customWidth="true" hidden="false" outlineLevel="0" max="9" min="9" style="0" width="3"/>
    <col collapsed="false" customWidth="true" hidden="false" outlineLevel="0" max="13" min="10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E4" s="3" t="s">
        <v>2</v>
      </c>
      <c r="F4" s="3"/>
      <c r="G4" s="3"/>
      <c r="H4" s="3"/>
      <c r="J4" s="4" t="s">
        <v>3</v>
      </c>
      <c r="K4" s="4"/>
      <c r="L4" s="4"/>
      <c r="M4" s="4"/>
    </row>
    <row r="5" customFormat="false" ht="15" hidden="false" customHeight="false" outlineLevel="0" collapsed="false">
      <c r="A5" s="5" t="s">
        <v>4</v>
      </c>
      <c r="B5" s="5" t="s">
        <v>5</v>
      </c>
      <c r="C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J5" s="5" t="s">
        <v>7</v>
      </c>
      <c r="K5" s="5" t="s">
        <v>8</v>
      </c>
      <c r="L5" s="5" t="s">
        <v>9</v>
      </c>
      <c r="M5" s="5" t="s">
        <v>10</v>
      </c>
    </row>
    <row r="6" customFormat="false" ht="15" hidden="false" customHeight="false" outlineLevel="0" collapsed="false">
      <c r="A6" s="6" t="s">
        <v>11</v>
      </c>
      <c r="B6" s="7" t="n">
        <f aca="false">'Co-intelligentie'!B4</f>
        <v>20</v>
      </c>
      <c r="C6" s="8" t="n">
        <f aca="false">'Co-intelligentie'!B7</f>
        <v>2000</v>
      </c>
      <c r="E6" s="9" t="n">
        <f aca="false">'Co-intelligentie'!C42</f>
        <v>0.142525</v>
      </c>
      <c r="F6" s="7" t="n">
        <f aca="false">'Co-intelligentie'!B42</f>
        <v>2.6151376146789</v>
      </c>
      <c r="G6" s="9" t="n">
        <f aca="false">'Co-intelligentie'!F42</f>
        <v>0.273701923076923</v>
      </c>
      <c r="H6" s="7" t="n">
        <f aca="false">'Co-intelligentie'!E42</f>
        <v>2.61146788990826</v>
      </c>
      <c r="J6" s="9" t="n">
        <f aca="false">'Co-intelligentie'!C66</f>
        <v>0.120725</v>
      </c>
      <c r="K6" s="7" t="n">
        <f aca="false">'Co-intelligentie'!B66</f>
        <v>2.2151376146789</v>
      </c>
      <c r="L6" s="9" t="n">
        <f aca="false">'Co-intelligentie'!F66</f>
        <v>0.231778846153846</v>
      </c>
      <c r="M6" s="7" t="n">
        <f aca="false">'Co-intelligentie'!E66</f>
        <v>2.21146788990826</v>
      </c>
    </row>
    <row r="7" customFormat="false" ht="15" hidden="false" customHeight="false" outlineLevel="0" collapsed="false">
      <c r="A7" s="10" t="s">
        <v>12</v>
      </c>
      <c r="B7" s="11" t="n">
        <f aca="false">'Rechts verpest onze seks'!B4</f>
        <v>17.5</v>
      </c>
      <c r="C7" s="12" t="n">
        <f aca="false">'Rechts verpest onze seks'!B7</f>
        <v>2000</v>
      </c>
      <c r="E7" s="13" t="n">
        <f aca="false">'Rechts verpest onze seks'!C42</f>
        <v>0.329853322857143</v>
      </c>
      <c r="F7" s="11" t="n">
        <f aca="false">'Rechts verpest onze seks'!B42</f>
        <v>5.2958102293578</v>
      </c>
      <c r="G7" s="13" t="n">
        <f aca="false">'Rechts verpest onze seks'!F42</f>
        <v>0.398392379120879</v>
      </c>
      <c r="H7" s="11" t="n">
        <f aca="false">'Rechts verpest onze seks'!E42</f>
        <v>3.32602811926606</v>
      </c>
      <c r="J7" s="13" t="n">
        <f aca="false">'Rechts verpest onze seks'!C66</f>
        <v>0.329897857142857</v>
      </c>
      <c r="K7" s="11" t="n">
        <f aca="false">'Rechts verpest onze seks'!B66</f>
        <v>5.2965252293578</v>
      </c>
      <c r="L7" s="13" t="n">
        <f aca="false">'Rechts verpest onze seks'!F66</f>
        <v>0.398478021978022</v>
      </c>
      <c r="M7" s="11" t="n">
        <f aca="false">'Rechts verpest onze seks'!E66</f>
        <v>3.32674311926606</v>
      </c>
    </row>
    <row r="8" customFormat="false" ht="15" hidden="false" customHeight="false" outlineLevel="0" collapsed="false">
      <c r="A8" s="6" t="s">
        <v>13</v>
      </c>
      <c r="B8" s="7" t="n">
        <f aca="false">'7 regels van vertrouwen'!B4</f>
        <v>0</v>
      </c>
      <c r="C8" s="8" t="n">
        <f aca="false">'7 regels van vertrouwen'!B7</f>
        <v>0</v>
      </c>
      <c r="E8" s="9" t="n">
        <f aca="false">'7 regels van vertrouwen'!C42</f>
        <v>0</v>
      </c>
      <c r="F8" s="7" t="n">
        <f aca="false">'7 regels van vertrouwen'!B42</f>
        <v>-4.7</v>
      </c>
      <c r="G8" s="9" t="n">
        <f aca="false">'7 regels van vertrouwen'!F42</f>
        <v>0</v>
      </c>
      <c r="H8" s="7" t="n">
        <f aca="false">'7 regels van vertrouwen'!E42</f>
        <v>-1.1</v>
      </c>
      <c r="J8" s="9" t="n">
        <f aca="false">'7 regels van vertrouwen'!C66</f>
        <v>0</v>
      </c>
      <c r="K8" s="7" t="n">
        <f aca="false">'7 regels van vertrouwen'!B66</f>
        <v>-4.7</v>
      </c>
      <c r="L8" s="9" t="n">
        <f aca="false">'7 regels van vertrouwen'!F66</f>
        <v>0</v>
      </c>
      <c r="M8" s="7" t="n">
        <f aca="false">'7 regels van vertrouwen'!E66</f>
        <v>-1.1</v>
      </c>
    </row>
    <row r="9" customFormat="false" ht="15" hidden="false" customHeight="false" outlineLevel="0" collapsed="false">
      <c r="A9" s="10" t="s">
        <v>14</v>
      </c>
      <c r="B9" s="11" t="n">
        <f aca="false">'Nieuwe titel'!B4</f>
        <v>0</v>
      </c>
      <c r="C9" s="12" t="n">
        <f aca="false">'Nieuwe titel'!B7</f>
        <v>0</v>
      </c>
      <c r="E9" s="13" t="n">
        <f aca="false">'Nieuwe titel'!C42</f>
        <v>0</v>
      </c>
      <c r="F9" s="11" t="n">
        <f aca="false">'Nieuwe titel'!B42</f>
        <v>-4.7</v>
      </c>
      <c r="G9" s="13" t="n">
        <f aca="false">'Nieuwe titel'!F42</f>
        <v>0</v>
      </c>
      <c r="H9" s="11" t="n">
        <f aca="false">'Nieuwe titel'!E42</f>
        <v>-1.1</v>
      </c>
      <c r="J9" s="13" t="n">
        <f aca="false">'Nieuwe titel'!C66</f>
        <v>0</v>
      </c>
      <c r="K9" s="11" t="n">
        <f aca="false">'Nieuwe titel'!B66</f>
        <v>-4.7</v>
      </c>
      <c r="L9" s="13" t="n">
        <f aca="false">'Nieuwe titel'!F66</f>
        <v>0</v>
      </c>
      <c r="M9" s="11" t="n">
        <f aca="false">'Nieuwe titel'!E66</f>
        <v>-1.1</v>
      </c>
    </row>
  </sheetData>
  <mergeCells count="4">
    <mergeCell ref="A1:M1"/>
    <mergeCell ref="A2:M2"/>
    <mergeCell ref="E4:H4"/>
    <mergeCell ref="J4:M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3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3"/>
    <col collapsed="false" customWidth="true" hidden="false" outlineLevel="0" max="8" min="8" style="0" width="24"/>
    <col collapsed="false" customWidth="true" hidden="false" outlineLevel="0" max="11" min="9" style="0" width="14"/>
  </cols>
  <sheetData>
    <row r="1" customFormat="false" ht="19.7" hidden="false" customHeight="false" outlineLevel="0" collapsed="false">
      <c r="A1" s="14" t="s">
        <v>11</v>
      </c>
      <c r="B1" s="14"/>
      <c r="C1" s="14"/>
      <c r="D1" s="14"/>
      <c r="E1" s="14"/>
      <c r="F1" s="14"/>
      <c r="H1" s="15" t="s">
        <v>15</v>
      </c>
      <c r="I1" s="15"/>
      <c r="J1" s="15"/>
    </row>
    <row r="2" customFormat="false" ht="15" hidden="false" customHeight="false" outlineLevel="0" collapsed="false">
      <c r="H2" s="16" t="s">
        <v>16</v>
      </c>
      <c r="I2" s="17" t="s">
        <v>17</v>
      </c>
      <c r="J2" s="17" t="s">
        <v>18</v>
      </c>
    </row>
    <row r="3" customFormat="false" ht="15" hidden="false" customHeight="false" outlineLevel="0" collapsed="false">
      <c r="A3" s="18" t="s">
        <v>19</v>
      </c>
      <c r="B3" s="19"/>
      <c r="D3" s="18" t="s">
        <v>20</v>
      </c>
      <c r="E3" s="19"/>
      <c r="H3" s="20" t="s">
        <v>21</v>
      </c>
      <c r="I3" s="21" t="n">
        <v>0</v>
      </c>
      <c r="J3" s="21"/>
    </row>
    <row r="4" customFormat="false" ht="15" hidden="false" customHeight="false" outlineLevel="0" collapsed="false">
      <c r="A4" s="22" t="s">
        <v>22</v>
      </c>
      <c r="B4" s="23" t="n">
        <v>20</v>
      </c>
      <c r="D4" s="22" t="s">
        <v>23</v>
      </c>
      <c r="E4" s="24" t="n">
        <v>0</v>
      </c>
      <c r="H4" s="20" t="s">
        <v>24</v>
      </c>
      <c r="I4" s="21" t="n">
        <v>0</v>
      </c>
      <c r="J4" s="21"/>
    </row>
    <row r="5" customFormat="false" ht="15" hidden="false" customHeight="false" outlineLevel="0" collapsed="false">
      <c r="A5" s="22" t="s">
        <v>25</v>
      </c>
      <c r="B5" s="24" t="n">
        <v>0.09</v>
      </c>
      <c r="D5" s="22" t="s">
        <v>26</v>
      </c>
      <c r="E5" s="24" t="n">
        <v>0.5</v>
      </c>
      <c r="H5" s="20" t="s">
        <v>27</v>
      </c>
      <c r="I5" s="21" t="n">
        <v>0</v>
      </c>
      <c r="J5" s="21"/>
    </row>
    <row r="6" customFormat="false" ht="15" hidden="false" customHeight="false" outlineLevel="0" collapsed="false">
      <c r="A6" s="22" t="s">
        <v>28</v>
      </c>
      <c r="B6" s="24" t="n">
        <v>0.48</v>
      </c>
      <c r="D6" s="22" t="s">
        <v>29</v>
      </c>
      <c r="E6" s="24" t="n">
        <v>0</v>
      </c>
      <c r="H6" s="20" t="s">
        <v>30</v>
      </c>
      <c r="I6" s="21" t="n">
        <v>0</v>
      </c>
      <c r="J6" s="21"/>
    </row>
    <row r="7" customFormat="false" ht="15" hidden="false" customHeight="false" outlineLevel="0" collapsed="false">
      <c r="A7" s="22" t="s">
        <v>31</v>
      </c>
      <c r="B7" s="25" t="n">
        <v>2000</v>
      </c>
      <c r="H7" s="20" t="s">
        <v>32</v>
      </c>
      <c r="I7" s="21" t="n">
        <v>0</v>
      </c>
      <c r="J7" s="21"/>
    </row>
    <row r="8" customFormat="false" ht="15" hidden="false" customHeight="false" outlineLevel="0" collapsed="false">
      <c r="H8" s="20" t="s">
        <v>33</v>
      </c>
      <c r="I8" s="21" t="n">
        <v>0</v>
      </c>
      <c r="J8" s="21"/>
    </row>
    <row r="9" customFormat="false" ht="15" hidden="false" customHeight="false" outlineLevel="0" collapsed="false">
      <c r="A9" s="18" t="s">
        <v>34</v>
      </c>
      <c r="B9" s="19"/>
      <c r="H9" s="20" t="s">
        <v>35</v>
      </c>
      <c r="I9" s="21" t="n">
        <v>0</v>
      </c>
      <c r="J9" s="21"/>
    </row>
    <row r="10" customFormat="false" ht="15" hidden="false" customHeight="false" outlineLevel="0" collapsed="false">
      <c r="A10" s="22" t="s">
        <v>36</v>
      </c>
      <c r="B10" s="23" t="n">
        <v>1.2</v>
      </c>
      <c r="H10" s="20" t="s">
        <v>37</v>
      </c>
      <c r="I10" s="26" t="n">
        <f aca="false">$B$10*$B$7</f>
        <v>2400</v>
      </c>
      <c r="J10" s="27"/>
    </row>
    <row r="11" customFormat="false" ht="15" hidden="false" customHeight="false" outlineLevel="0" collapsed="false">
      <c r="A11" s="22" t="s">
        <v>38</v>
      </c>
      <c r="B11" s="23" t="n">
        <v>2</v>
      </c>
      <c r="H11" s="20" t="s">
        <v>39</v>
      </c>
      <c r="I11" s="21" t="n">
        <v>0</v>
      </c>
      <c r="J11" s="21"/>
    </row>
    <row r="12" customFormat="false" ht="15" hidden="false" customHeight="false" outlineLevel="0" collapsed="false">
      <c r="A12" s="22" t="s">
        <v>40</v>
      </c>
      <c r="B12" s="23" t="n">
        <v>4.7</v>
      </c>
    </row>
    <row r="13" customFormat="false" ht="15" hidden="false" customHeight="false" outlineLevel="0" collapsed="false">
      <c r="A13" s="22" t="s">
        <v>41</v>
      </c>
      <c r="B13" s="23" t="n">
        <v>1.1</v>
      </c>
      <c r="H13" s="10" t="s">
        <v>42</v>
      </c>
      <c r="I13" s="28" t="n">
        <f aca="false">SUM(I3:I9,I11)</f>
        <v>0</v>
      </c>
      <c r="J13" s="28" t="n">
        <f aca="false">SUM(J3:J9,J11)</f>
        <v>0</v>
      </c>
    </row>
    <row r="14" customFormat="false" ht="15" hidden="false" customHeight="false" outlineLevel="0" collapsed="false">
      <c r="A14" s="22" t="s">
        <v>43</v>
      </c>
      <c r="B14" s="24" t="n">
        <v>0.01</v>
      </c>
      <c r="H14" s="10" t="s">
        <v>44</v>
      </c>
      <c r="I14" s="29" t="n">
        <f aca="false">SUM(I3:I11)</f>
        <v>2400</v>
      </c>
      <c r="J14" s="29" t="n">
        <f aca="false">SUM(J3:J11)</f>
        <v>0</v>
      </c>
    </row>
    <row r="15" customFormat="false" ht="15" hidden="false" customHeight="false" outlineLevel="0" collapsed="false">
      <c r="A15" s="22" t="s">
        <v>45</v>
      </c>
      <c r="B15" s="24" t="n">
        <v>0</v>
      </c>
      <c r="H15" s="10" t="s">
        <v>46</v>
      </c>
      <c r="I15" s="30" t="n">
        <f aca="false">IFERROR(I13/$B$7,0)</f>
        <v>0</v>
      </c>
      <c r="J15" s="30" t="n">
        <f aca="false">IFERROR(J13/$B$7,0)</f>
        <v>0</v>
      </c>
    </row>
    <row r="16" customFormat="false" ht="15" hidden="false" customHeight="false" outlineLevel="0" collapsed="false">
      <c r="A16" s="22" t="s">
        <v>47</v>
      </c>
      <c r="B16" s="24" t="n">
        <v>0.11</v>
      </c>
    </row>
    <row r="17" customFormat="false" ht="15" hidden="false" customHeight="false" outlineLevel="0" collapsed="false">
      <c r="A17" s="22" t="s">
        <v>48</v>
      </c>
      <c r="B17" s="23" t="n">
        <v>5</v>
      </c>
      <c r="H17" s="15" t="s">
        <v>49</v>
      </c>
      <c r="I17" s="15"/>
      <c r="J17" s="15"/>
    </row>
    <row r="18" customFormat="false" ht="15" hidden="false" customHeight="false" outlineLevel="0" collapsed="false">
      <c r="A18" s="22" t="s">
        <v>50</v>
      </c>
      <c r="B18" s="24" t="n">
        <v>0</v>
      </c>
      <c r="H18" s="16" t="s">
        <v>16</v>
      </c>
      <c r="I18" s="17" t="s">
        <v>17</v>
      </c>
      <c r="J18" s="17" t="s">
        <v>18</v>
      </c>
    </row>
    <row r="19" customFormat="false" ht="15" hidden="false" customHeight="false" outlineLevel="0" collapsed="false">
      <c r="H19" s="20" t="s">
        <v>51</v>
      </c>
      <c r="I19" s="21" t="n">
        <v>0</v>
      </c>
      <c r="J19" s="21"/>
    </row>
    <row r="20" customFormat="false" ht="15" hidden="false" customHeight="false" outlineLevel="0" collapsed="false">
      <c r="A20" s="3" t="s">
        <v>2</v>
      </c>
      <c r="B20" s="3"/>
      <c r="C20" s="3"/>
      <c r="D20" s="3"/>
      <c r="E20" s="3"/>
      <c r="F20" s="3"/>
      <c r="H20" s="20" t="s">
        <v>52</v>
      </c>
      <c r="I20" s="21" t="n">
        <v>0</v>
      </c>
      <c r="J20" s="21"/>
    </row>
    <row r="21" customFormat="false" ht="15" hidden="false" customHeight="false" outlineLevel="0" collapsed="false">
      <c r="B21" s="31" t="s">
        <v>53</v>
      </c>
      <c r="C21" s="31"/>
      <c r="E21" s="32" t="s">
        <v>54</v>
      </c>
      <c r="F21" s="32"/>
      <c r="H21" s="20" t="s">
        <v>55</v>
      </c>
      <c r="I21" s="21" t="n">
        <v>0</v>
      </c>
      <c r="J21" s="21"/>
    </row>
    <row r="22" customFormat="false" ht="15" hidden="false" customHeight="false" outlineLevel="0" collapsed="false">
      <c r="B22" s="33" t="s">
        <v>56</v>
      </c>
      <c r="C22" s="33" t="s">
        <v>57</v>
      </c>
      <c r="E22" s="33" t="s">
        <v>56</v>
      </c>
      <c r="F22" s="33" t="s">
        <v>57</v>
      </c>
      <c r="H22" s="20" t="s">
        <v>58</v>
      </c>
      <c r="I22" s="21" t="n">
        <v>0</v>
      </c>
      <c r="J22" s="21"/>
    </row>
    <row r="23" customFormat="false" ht="15" hidden="false" customHeight="false" outlineLevel="0" collapsed="false">
      <c r="A23" s="22" t="s">
        <v>59</v>
      </c>
      <c r="B23" s="34" t="n">
        <f aca="false">$B$4/(1+$B$5)</f>
        <v>18.348623853211</v>
      </c>
      <c r="E23" s="34" t="n">
        <f aca="false">$B$4/(1+$B$5)</f>
        <v>18.348623853211</v>
      </c>
      <c r="H23" s="20" t="s">
        <v>60</v>
      </c>
      <c r="I23" s="21" t="n">
        <v>0</v>
      </c>
      <c r="J23" s="21"/>
    </row>
    <row r="24" customFormat="false" ht="15" hidden="false" customHeight="false" outlineLevel="0" collapsed="false">
      <c r="A24" s="22" t="s">
        <v>61</v>
      </c>
      <c r="B24" s="34" t="n">
        <v>0</v>
      </c>
      <c r="C24" s="35" t="n">
        <v>0</v>
      </c>
      <c r="E24" s="34" t="n">
        <f aca="false">E23*$B$6</f>
        <v>8.80733944954129</v>
      </c>
      <c r="F24" s="35" t="n">
        <f aca="false">$B$6</f>
        <v>0.48</v>
      </c>
    </row>
    <row r="25" customFormat="false" ht="15" hidden="false" customHeight="false" outlineLevel="0" collapsed="false">
      <c r="A25" s="36" t="s">
        <v>62</v>
      </c>
      <c r="B25" s="28" t="n">
        <f aca="false">B23</f>
        <v>18.348623853211</v>
      </c>
      <c r="C25" s="37"/>
      <c r="E25" s="28" t="n">
        <f aca="false">E23-E24</f>
        <v>9.54128440366972</v>
      </c>
      <c r="F25" s="37"/>
      <c r="H25" s="10" t="s">
        <v>63</v>
      </c>
      <c r="I25" s="28" t="n">
        <f aca="false">SUM(I19:I23)</f>
        <v>0</v>
      </c>
      <c r="J25" s="28" t="n">
        <f aca="false">SUM(J19:J23)</f>
        <v>0</v>
      </c>
    </row>
    <row r="27" customFormat="false" ht="15" hidden="false" customHeight="false" outlineLevel="0" collapsed="false">
      <c r="A27" s="22" t="s">
        <v>64</v>
      </c>
      <c r="B27" s="34" t="n">
        <f aca="false">$B$10</f>
        <v>1.2</v>
      </c>
      <c r="C27" s="35" t="n">
        <f aca="false">IFERROR(B27/B$25,0)</f>
        <v>0.0654</v>
      </c>
      <c r="E27" s="34" t="n">
        <f aca="false">$B$10</f>
        <v>1.2</v>
      </c>
      <c r="F27" s="35" t="n">
        <f aca="false">IFERROR(E27/E$25,0)</f>
        <v>0.125769230769231</v>
      </c>
    </row>
    <row r="28" customFormat="false" ht="15" hidden="false" customHeight="false" outlineLevel="0" collapsed="false">
      <c r="A28" s="22" t="s">
        <v>65</v>
      </c>
      <c r="B28" s="38" t="n">
        <f aca="false">IFERROR(I15/$B$7,0)</f>
        <v>0</v>
      </c>
      <c r="C28" s="35" t="n">
        <f aca="false">IFERROR(B28/B$25,0)</f>
        <v>0</v>
      </c>
      <c r="E28" s="38" t="n">
        <f aca="false">IFERROR(I15/$B$7,0)</f>
        <v>0</v>
      </c>
      <c r="F28" s="35" t="n">
        <f aca="false">IFERROR(E28/E$25,0)</f>
        <v>0</v>
      </c>
      <c r="H28" s="15" t="s">
        <v>66</v>
      </c>
      <c r="I28" s="15"/>
      <c r="J28" s="15"/>
      <c r="K28" s="15"/>
    </row>
    <row r="29" customFormat="false" ht="15" hidden="false" customHeight="false" outlineLevel="0" collapsed="false">
      <c r="A29" s="22" t="s">
        <v>67</v>
      </c>
      <c r="B29" s="34" t="n">
        <f aca="false">$B$12</f>
        <v>4.7</v>
      </c>
      <c r="C29" s="35" t="n">
        <f aca="false">IFERROR(B29/B$25,0)</f>
        <v>0.25615</v>
      </c>
      <c r="E29" s="34" t="n">
        <v>0</v>
      </c>
      <c r="F29" s="35" t="n">
        <v>0</v>
      </c>
      <c r="G29" s="39" t="s">
        <v>68</v>
      </c>
      <c r="H29" s="16" t="s">
        <v>69</v>
      </c>
      <c r="I29" s="17" t="s">
        <v>70</v>
      </c>
      <c r="J29" s="17" t="s">
        <v>71</v>
      </c>
      <c r="K29" s="17" t="s">
        <v>72</v>
      </c>
    </row>
    <row r="30" customFormat="false" ht="15" hidden="false" customHeight="false" outlineLevel="0" collapsed="false">
      <c r="A30" s="22" t="s">
        <v>73</v>
      </c>
      <c r="B30" s="34" t="n">
        <v>0</v>
      </c>
      <c r="C30" s="35" t="n">
        <v>0</v>
      </c>
      <c r="E30" s="34" t="n">
        <f aca="false">$B$13</f>
        <v>1.1</v>
      </c>
      <c r="F30" s="35" t="n">
        <f aca="false">IFERROR(E30/E$25,0)</f>
        <v>0.115288461538462</v>
      </c>
      <c r="G30" s="39" t="s">
        <v>74</v>
      </c>
      <c r="H30" s="20" t="s">
        <v>75</v>
      </c>
      <c r="I30" s="40" t="n">
        <f aca="false">$B$7</f>
        <v>2000</v>
      </c>
      <c r="J30" s="26" t="n">
        <f aca="false">$B$10</f>
        <v>1.2</v>
      </c>
      <c r="K30" s="26" t="n">
        <f aca="false">I30*J30</f>
        <v>2400</v>
      </c>
    </row>
    <row r="31" customFormat="false" ht="15" hidden="false" customHeight="false" outlineLevel="0" collapsed="false">
      <c r="A31" s="22" t="s">
        <v>76</v>
      </c>
      <c r="B31" s="34" t="n">
        <f aca="false">$B$4*$B$14</f>
        <v>0.2</v>
      </c>
      <c r="C31" s="35" t="n">
        <f aca="false">IFERROR(B31/B$25,0)</f>
        <v>0.0109</v>
      </c>
      <c r="E31" s="34" t="n">
        <v>0</v>
      </c>
      <c r="F31" s="35" t="n">
        <v>0</v>
      </c>
      <c r="G31" s="39" t="s">
        <v>68</v>
      </c>
      <c r="H31" s="20" t="s">
        <v>77</v>
      </c>
      <c r="I31" s="41" t="n">
        <v>0</v>
      </c>
      <c r="J31" s="42" t="n">
        <v>0</v>
      </c>
      <c r="K31" s="26" t="n">
        <f aca="false">I31*J31</f>
        <v>0</v>
      </c>
    </row>
    <row r="32" customFormat="false" ht="15" hidden="false" customHeight="false" outlineLevel="0" collapsed="false">
      <c r="A32" s="22" t="s">
        <v>78</v>
      </c>
      <c r="B32" s="34" t="n">
        <f aca="false">$B$17</f>
        <v>5</v>
      </c>
      <c r="C32" s="35" t="n">
        <f aca="false">IFERROR(B32/B$25,0)</f>
        <v>0.2725</v>
      </c>
      <c r="E32" s="34" t="n">
        <v>0</v>
      </c>
      <c r="F32" s="35" t="n">
        <v>0</v>
      </c>
      <c r="G32" s="39" t="s">
        <v>68</v>
      </c>
      <c r="H32" s="20" t="s">
        <v>79</v>
      </c>
      <c r="I32" s="41" t="n">
        <v>0</v>
      </c>
      <c r="J32" s="42" t="n">
        <v>0</v>
      </c>
      <c r="K32" s="26" t="n">
        <f aca="false">I32*J32</f>
        <v>0</v>
      </c>
    </row>
    <row r="33" customFormat="false" ht="15" hidden="false" customHeight="false" outlineLevel="0" collapsed="false">
      <c r="A33" s="22" t="s">
        <v>80</v>
      </c>
      <c r="B33" s="34" t="n">
        <f aca="false">B23*$B$15</f>
        <v>0</v>
      </c>
      <c r="C33" s="35" t="n">
        <f aca="false">IFERROR(B33/B$25,0)</f>
        <v>0</v>
      </c>
      <c r="E33" s="34" t="n">
        <f aca="false">E23*$B$15</f>
        <v>0</v>
      </c>
      <c r="F33" s="35" t="n">
        <f aca="false">IFERROR(E33/E$25,0)</f>
        <v>0</v>
      </c>
      <c r="H33" s="20" t="s">
        <v>81</v>
      </c>
      <c r="I33" s="41" t="n">
        <v>0</v>
      </c>
      <c r="J33" s="42" t="n">
        <v>0</v>
      </c>
      <c r="K33" s="26" t="n">
        <f aca="false">I33*J33</f>
        <v>0</v>
      </c>
    </row>
    <row r="34" customFormat="false" ht="15" hidden="false" customHeight="false" outlineLevel="0" collapsed="false">
      <c r="A34" s="22" t="s">
        <v>82</v>
      </c>
      <c r="B34" s="34" t="n">
        <f aca="false">B23*$B$16</f>
        <v>2.01834862385321</v>
      </c>
      <c r="C34" s="35" t="n">
        <f aca="false">IFERROR(B34/B$25,0)</f>
        <v>0.11</v>
      </c>
      <c r="E34" s="34" t="n">
        <f aca="false">E23*$B$16</f>
        <v>2.01834862385321</v>
      </c>
      <c r="F34" s="35" t="n">
        <f aca="false">IFERROR(E34/E$25,0)</f>
        <v>0.211538461538462</v>
      </c>
      <c r="H34" s="20" t="s">
        <v>83</v>
      </c>
      <c r="I34" s="41" t="n">
        <v>0</v>
      </c>
      <c r="J34" s="42" t="n">
        <v>0</v>
      </c>
      <c r="K34" s="26" t="n">
        <f aca="false">I34*J34</f>
        <v>0</v>
      </c>
    </row>
    <row r="35" customFormat="false" ht="15" hidden="false" customHeight="false" outlineLevel="0" collapsed="false">
      <c r="A35" s="22" t="s">
        <v>84</v>
      </c>
      <c r="B35" s="34" t="n">
        <f aca="false">B25*$B$18</f>
        <v>0</v>
      </c>
      <c r="C35" s="35" t="n">
        <f aca="false">$B$18</f>
        <v>0</v>
      </c>
      <c r="E35" s="34" t="n">
        <f aca="false">E25*$B$18</f>
        <v>0</v>
      </c>
      <c r="F35" s="35" t="n">
        <f aca="false">$B$18</f>
        <v>0</v>
      </c>
    </row>
    <row r="36" customFormat="false" ht="15" hidden="false" customHeight="false" outlineLevel="0" collapsed="false">
      <c r="A36" s="36" t="s">
        <v>85</v>
      </c>
      <c r="B36" s="43" t="n">
        <f aca="false">SUM(B27:B35)</f>
        <v>13.1183486238532</v>
      </c>
      <c r="C36" s="44" t="n">
        <f aca="false">IFERROR(B36/B$25,0)</f>
        <v>0.71495</v>
      </c>
      <c r="E36" s="43" t="n">
        <f aca="false">SUM(E27:E35)</f>
        <v>4.31834862385321</v>
      </c>
      <c r="F36" s="44" t="n">
        <f aca="false">IFERROR(E36/E$25,0)</f>
        <v>0.452596153846154</v>
      </c>
      <c r="H36" s="10" t="s">
        <v>86</v>
      </c>
      <c r="I36" s="45" t="n">
        <f aca="false">SUM(I30:I34)</f>
        <v>2000</v>
      </c>
      <c r="J36" s="46"/>
      <c r="K36" s="28" t="n">
        <f aca="false">SUM(K30:K34)</f>
        <v>2400</v>
      </c>
    </row>
    <row r="37" customFormat="false" ht="15" hidden="false" customHeight="false" outlineLevel="0" collapsed="false">
      <c r="H37" s="10" t="s">
        <v>87</v>
      </c>
      <c r="I37" s="46"/>
      <c r="J37" s="29" t="n">
        <f aca="false">IFERROR(K36/I36,0)</f>
        <v>1.2</v>
      </c>
      <c r="K37" s="46"/>
    </row>
    <row r="38" customFormat="false" ht="15" hidden="false" customHeight="false" outlineLevel="0" collapsed="false">
      <c r="A38" s="36" t="s">
        <v>88</v>
      </c>
      <c r="B38" s="47" t="n">
        <f aca="false">B25-B36</f>
        <v>5.2302752293578</v>
      </c>
      <c r="C38" s="48" t="n">
        <f aca="false">IFERROR(B38/B$25,0)</f>
        <v>0.28505</v>
      </c>
      <c r="E38" s="47" t="n">
        <f aca="false">E25-E36</f>
        <v>5.22293577981651</v>
      </c>
      <c r="F38" s="48" t="n">
        <f aca="false">IFERROR(E38/E$25,0)</f>
        <v>0.547403846153846</v>
      </c>
    </row>
    <row r="39" customFormat="false" ht="15" hidden="false" customHeight="false" outlineLevel="0" collapsed="false">
      <c r="A39" s="22" t="s">
        <v>89</v>
      </c>
      <c r="B39" s="34" t="n">
        <f aca="false">B23*$E$4</f>
        <v>0</v>
      </c>
      <c r="C39" s="35" t="n">
        <f aca="false">IFERROR(B39/B$25,0)</f>
        <v>0</v>
      </c>
      <c r="E39" s="34" t="n">
        <f aca="false">E23*$E$4</f>
        <v>0</v>
      </c>
      <c r="F39" s="35" t="n">
        <f aca="false">IFERROR(E39/E$25,0)</f>
        <v>0</v>
      </c>
      <c r="G39" s="39" t="s">
        <v>90</v>
      </c>
    </row>
    <row r="40" customFormat="false" ht="15" hidden="false" customHeight="false" outlineLevel="0" collapsed="false">
      <c r="A40" s="22" t="s">
        <v>91</v>
      </c>
      <c r="B40" s="34" t="n">
        <f aca="false">(B38-B39)*$E$5</f>
        <v>2.6151376146789</v>
      </c>
      <c r="C40" s="35" t="n">
        <f aca="false">IFERROR(B40/B$25,0)</f>
        <v>0.142525</v>
      </c>
      <c r="E40" s="34" t="n">
        <f aca="false">(E38-E39)*$E$5</f>
        <v>2.61146788990826</v>
      </c>
      <c r="F40" s="35" t="n">
        <f aca="false">IFERROR(E40/E$25,0)</f>
        <v>0.273701923076923</v>
      </c>
      <c r="G40" s="39" t="s">
        <v>92</v>
      </c>
    </row>
    <row r="41" customFormat="false" ht="15" hidden="false" customHeight="false" outlineLevel="0" collapsed="false">
      <c r="A41" s="22" t="s">
        <v>93</v>
      </c>
      <c r="B41" s="34" t="n">
        <f aca="false">(B38-B39)*$E$6</f>
        <v>0</v>
      </c>
      <c r="C41" s="35" t="n">
        <f aca="false">IFERROR(B41/B$25,0)</f>
        <v>0</v>
      </c>
      <c r="E41" s="34" t="n">
        <f aca="false">(E38-E39)*$E$6</f>
        <v>0</v>
      </c>
      <c r="F41" s="35" t="n">
        <f aca="false">IFERROR(E41/E$25,0)</f>
        <v>0</v>
      </c>
    </row>
    <row r="42" customFormat="false" ht="15" hidden="false" customHeight="false" outlineLevel="0" collapsed="false">
      <c r="A42" s="49" t="s">
        <v>94</v>
      </c>
      <c r="B42" s="50" t="n">
        <f aca="false">B38-B39-B40-B41</f>
        <v>2.6151376146789</v>
      </c>
      <c r="C42" s="51" t="n">
        <f aca="false">IFERROR(B42/B$25,0)</f>
        <v>0.142525</v>
      </c>
      <c r="D42" s="52"/>
      <c r="E42" s="50" t="n">
        <f aca="false">E38-E39-E40-E41</f>
        <v>2.61146788990826</v>
      </c>
      <c r="F42" s="51" t="n">
        <f aca="false">IFERROR(E42/E$25,0)</f>
        <v>0.273701923076923</v>
      </c>
    </row>
    <row r="44" customFormat="false" ht="15" hidden="false" customHeight="false" outlineLevel="0" collapsed="false">
      <c r="A44" s="4" t="s">
        <v>3</v>
      </c>
      <c r="B44" s="4"/>
      <c r="C44" s="4"/>
      <c r="D44" s="4"/>
      <c r="E44" s="4"/>
      <c r="F44" s="4"/>
    </row>
    <row r="45" customFormat="false" ht="15" hidden="false" customHeight="false" outlineLevel="0" collapsed="false">
      <c r="B45" s="31" t="s">
        <v>53</v>
      </c>
      <c r="C45" s="31"/>
      <c r="E45" s="32" t="s">
        <v>54</v>
      </c>
      <c r="F45" s="32"/>
    </row>
    <row r="46" customFormat="false" ht="15" hidden="false" customHeight="false" outlineLevel="0" collapsed="false">
      <c r="B46" s="33" t="s">
        <v>56</v>
      </c>
      <c r="C46" s="33" t="s">
        <v>57</v>
      </c>
      <c r="E46" s="33" t="s">
        <v>56</v>
      </c>
      <c r="F46" s="33" t="s">
        <v>57</v>
      </c>
    </row>
    <row r="47" customFormat="false" ht="15" hidden="false" customHeight="false" outlineLevel="0" collapsed="false">
      <c r="A47" s="22" t="s">
        <v>59</v>
      </c>
      <c r="B47" s="34" t="n">
        <f aca="false">$B$4/(1+$B$5)</f>
        <v>18.348623853211</v>
      </c>
      <c r="E47" s="34" t="n">
        <f aca="false">$B$4/(1+$B$5)</f>
        <v>18.348623853211</v>
      </c>
    </row>
    <row r="48" customFormat="false" ht="15" hidden="false" customHeight="false" outlineLevel="0" collapsed="false">
      <c r="A48" s="22" t="s">
        <v>61</v>
      </c>
      <c r="B48" s="34" t="n">
        <v>0</v>
      </c>
      <c r="C48" s="35" t="n">
        <v>0</v>
      </c>
      <c r="E48" s="34" t="n">
        <f aca="false">E47*$B$6</f>
        <v>8.80733944954129</v>
      </c>
      <c r="F48" s="35" t="n">
        <f aca="false">$B$6</f>
        <v>0.48</v>
      </c>
    </row>
    <row r="49" customFormat="false" ht="15" hidden="false" customHeight="false" outlineLevel="0" collapsed="false">
      <c r="A49" s="36" t="s">
        <v>62</v>
      </c>
      <c r="B49" s="28" t="n">
        <f aca="false">B47</f>
        <v>18.348623853211</v>
      </c>
      <c r="C49" s="37"/>
      <c r="E49" s="28" t="n">
        <f aca="false">E47-E48</f>
        <v>9.54128440366972</v>
      </c>
      <c r="F49" s="37"/>
    </row>
    <row r="51" customFormat="false" ht="15" hidden="false" customHeight="false" outlineLevel="0" collapsed="false">
      <c r="A51" s="22" t="s">
        <v>64</v>
      </c>
      <c r="B51" s="34" t="n">
        <f aca="false">$B$11</f>
        <v>2</v>
      </c>
      <c r="C51" s="35" t="n">
        <f aca="false">IFERROR(B51/B$49,0)</f>
        <v>0.109</v>
      </c>
      <c r="E51" s="34" t="n">
        <f aca="false">$B$11</f>
        <v>2</v>
      </c>
      <c r="F51" s="35" t="n">
        <f aca="false">IFERROR(E51/E$49,0)</f>
        <v>0.209615384615385</v>
      </c>
    </row>
    <row r="52" customFormat="false" ht="15" hidden="false" customHeight="false" outlineLevel="0" collapsed="false">
      <c r="A52" s="22" t="s">
        <v>65</v>
      </c>
      <c r="B52" s="34" t="n">
        <v>0</v>
      </c>
      <c r="C52" s="35" t="n">
        <f aca="false">IFERROR(B52/B$49,0)</f>
        <v>0</v>
      </c>
      <c r="E52" s="34" t="n">
        <v>0</v>
      </c>
      <c r="F52" s="35" t="n">
        <f aca="false">IFERROR(E52/E$49,0)</f>
        <v>0</v>
      </c>
      <c r="G52" s="39" t="s">
        <v>95</v>
      </c>
    </row>
    <row r="53" customFormat="false" ht="15" hidden="false" customHeight="false" outlineLevel="0" collapsed="false">
      <c r="A53" s="22" t="s">
        <v>67</v>
      </c>
      <c r="B53" s="34" t="n">
        <f aca="false">$B$12</f>
        <v>4.7</v>
      </c>
      <c r="C53" s="35" t="n">
        <f aca="false">IFERROR(B53/B$49,0)</f>
        <v>0.25615</v>
      </c>
      <c r="E53" s="34" t="n">
        <v>0</v>
      </c>
      <c r="F53" s="35" t="n">
        <v>0</v>
      </c>
      <c r="G53" s="39" t="s">
        <v>68</v>
      </c>
    </row>
    <row r="54" customFormat="false" ht="15" hidden="false" customHeight="false" outlineLevel="0" collapsed="false">
      <c r="A54" s="22" t="s">
        <v>73</v>
      </c>
      <c r="B54" s="34" t="n">
        <v>0</v>
      </c>
      <c r="C54" s="35" t="n">
        <v>0</v>
      </c>
      <c r="E54" s="34" t="n">
        <f aca="false">$B$13</f>
        <v>1.1</v>
      </c>
      <c r="F54" s="35" t="n">
        <f aca="false">IFERROR(E54/E$49,0)</f>
        <v>0.115288461538462</v>
      </c>
      <c r="G54" s="39" t="s">
        <v>74</v>
      </c>
    </row>
    <row r="55" customFormat="false" ht="15" hidden="false" customHeight="false" outlineLevel="0" collapsed="false">
      <c r="A55" s="22" t="s">
        <v>76</v>
      </c>
      <c r="B55" s="34" t="n">
        <f aca="false">$B$4*$B$14</f>
        <v>0.2</v>
      </c>
      <c r="C55" s="35" t="n">
        <f aca="false">IFERROR(B55/B$49,0)</f>
        <v>0.0109</v>
      </c>
      <c r="E55" s="34" t="n">
        <v>0</v>
      </c>
      <c r="F55" s="35" t="n">
        <v>0</v>
      </c>
      <c r="G55" s="39" t="s">
        <v>68</v>
      </c>
    </row>
    <row r="56" customFormat="false" ht="15" hidden="false" customHeight="false" outlineLevel="0" collapsed="false">
      <c r="A56" s="22" t="s">
        <v>78</v>
      </c>
      <c r="B56" s="34" t="n">
        <f aca="false">$B$17</f>
        <v>5</v>
      </c>
      <c r="C56" s="35" t="n">
        <f aca="false">IFERROR(B56/B$49,0)</f>
        <v>0.2725</v>
      </c>
      <c r="E56" s="34" t="n">
        <v>0</v>
      </c>
      <c r="F56" s="35" t="n">
        <v>0</v>
      </c>
      <c r="G56" s="39" t="s">
        <v>68</v>
      </c>
    </row>
    <row r="57" customFormat="false" ht="15" hidden="false" customHeight="false" outlineLevel="0" collapsed="false">
      <c r="A57" s="22" t="s">
        <v>80</v>
      </c>
      <c r="B57" s="34" t="n">
        <f aca="false">B47*$B$15</f>
        <v>0</v>
      </c>
      <c r="C57" s="35" t="n">
        <f aca="false">IFERROR(B57/B$49,0)</f>
        <v>0</v>
      </c>
      <c r="E57" s="34" t="n">
        <f aca="false">E47*$B$15</f>
        <v>0</v>
      </c>
      <c r="F57" s="35" t="n">
        <f aca="false">IFERROR(E57/E$49,0)</f>
        <v>0</v>
      </c>
    </row>
    <row r="58" customFormat="false" ht="15" hidden="false" customHeight="false" outlineLevel="0" collapsed="false">
      <c r="A58" s="22" t="s">
        <v>82</v>
      </c>
      <c r="B58" s="34" t="n">
        <f aca="false">B47*$B$16</f>
        <v>2.01834862385321</v>
      </c>
      <c r="C58" s="35" t="n">
        <f aca="false">IFERROR(B58/B$49,0)</f>
        <v>0.11</v>
      </c>
      <c r="E58" s="34" t="n">
        <f aca="false">E47*$B$16</f>
        <v>2.01834862385321</v>
      </c>
      <c r="F58" s="35" t="n">
        <f aca="false">IFERROR(E58/E$49,0)</f>
        <v>0.211538461538462</v>
      </c>
    </row>
    <row r="59" customFormat="false" ht="15" hidden="false" customHeight="false" outlineLevel="0" collapsed="false">
      <c r="A59" s="22" t="s">
        <v>84</v>
      </c>
      <c r="B59" s="34" t="n">
        <f aca="false">B49*$B$18</f>
        <v>0</v>
      </c>
      <c r="C59" s="35" t="n">
        <f aca="false">$B$18</f>
        <v>0</v>
      </c>
      <c r="E59" s="34" t="n">
        <f aca="false">E49*$B$18</f>
        <v>0</v>
      </c>
      <c r="F59" s="35" t="n">
        <f aca="false">$B$18</f>
        <v>0</v>
      </c>
    </row>
    <row r="60" customFormat="false" ht="15" hidden="false" customHeight="false" outlineLevel="0" collapsed="false">
      <c r="A60" s="36" t="s">
        <v>85</v>
      </c>
      <c r="B60" s="43" t="n">
        <f aca="false">SUM(B51:B59)</f>
        <v>13.9183486238532</v>
      </c>
      <c r="C60" s="44" t="n">
        <f aca="false">IFERROR(B60/B$49,0)</f>
        <v>0.75855</v>
      </c>
      <c r="E60" s="43" t="n">
        <f aca="false">SUM(E51:E59)</f>
        <v>5.11834862385321</v>
      </c>
      <c r="F60" s="44" t="n">
        <f aca="false">IFERROR(E60/E$49,0)</f>
        <v>0.536442307692308</v>
      </c>
    </row>
    <row r="62" customFormat="false" ht="15" hidden="false" customHeight="false" outlineLevel="0" collapsed="false">
      <c r="A62" s="36" t="s">
        <v>88</v>
      </c>
      <c r="B62" s="47" t="n">
        <f aca="false">B49-B60</f>
        <v>4.4302752293578</v>
      </c>
      <c r="C62" s="48" t="n">
        <f aca="false">IFERROR(B62/B$49,0)</f>
        <v>0.24145</v>
      </c>
      <c r="E62" s="47" t="n">
        <f aca="false">E49-E60</f>
        <v>4.42293577981651</v>
      </c>
      <c r="F62" s="48" t="n">
        <f aca="false">IFERROR(E62/E$49,0)</f>
        <v>0.463557692307692</v>
      </c>
    </row>
    <row r="63" customFormat="false" ht="15" hidden="false" customHeight="false" outlineLevel="0" collapsed="false">
      <c r="A63" s="22" t="s">
        <v>89</v>
      </c>
      <c r="B63" s="34" t="n">
        <f aca="false">B47*$E$4</f>
        <v>0</v>
      </c>
      <c r="C63" s="35" t="n">
        <f aca="false">IFERROR(B63/B$49,0)</f>
        <v>0</v>
      </c>
      <c r="E63" s="34" t="n">
        <f aca="false">E47*$E$4</f>
        <v>0</v>
      </c>
      <c r="F63" s="35" t="n">
        <f aca="false">IFERROR(E63/E$49,0)</f>
        <v>0</v>
      </c>
      <c r="G63" s="39" t="s">
        <v>90</v>
      </c>
    </row>
    <row r="64" customFormat="false" ht="15" hidden="false" customHeight="false" outlineLevel="0" collapsed="false">
      <c r="A64" s="22" t="s">
        <v>91</v>
      </c>
      <c r="B64" s="34" t="n">
        <f aca="false">(B62-B63)*$E$5</f>
        <v>2.2151376146789</v>
      </c>
      <c r="C64" s="35" t="n">
        <f aca="false">IFERROR(B64/B$49,0)</f>
        <v>0.120725</v>
      </c>
      <c r="E64" s="34" t="n">
        <f aca="false">(E62-E63)*$E$5</f>
        <v>2.21146788990826</v>
      </c>
      <c r="F64" s="35" t="n">
        <f aca="false">IFERROR(E64/E$49,0)</f>
        <v>0.231778846153846</v>
      </c>
      <c r="G64" s="39" t="s">
        <v>92</v>
      </c>
    </row>
    <row r="65" customFormat="false" ht="15" hidden="false" customHeight="false" outlineLevel="0" collapsed="false">
      <c r="A65" s="22" t="s">
        <v>93</v>
      </c>
      <c r="B65" s="34" t="n">
        <f aca="false">(B62-B63)*$E$6</f>
        <v>0</v>
      </c>
      <c r="C65" s="35" t="n">
        <f aca="false">IFERROR(B65/B$49,0)</f>
        <v>0</v>
      </c>
      <c r="E65" s="34" t="n">
        <f aca="false">(E62-E63)*$E$6</f>
        <v>0</v>
      </c>
      <c r="F65" s="35" t="n">
        <f aca="false">IFERROR(E65/E$49,0)</f>
        <v>0</v>
      </c>
    </row>
    <row r="66" customFormat="false" ht="15" hidden="false" customHeight="false" outlineLevel="0" collapsed="false">
      <c r="A66" s="49" t="s">
        <v>94</v>
      </c>
      <c r="B66" s="50" t="n">
        <f aca="false">B62-B63-B64-B65</f>
        <v>2.2151376146789</v>
      </c>
      <c r="C66" s="51" t="n">
        <f aca="false">IFERROR(B66/B$49,0)</f>
        <v>0.120725</v>
      </c>
      <c r="D66" s="52"/>
      <c r="E66" s="50" t="n">
        <f aca="false">E62-E63-E64-E65</f>
        <v>2.21146788990826</v>
      </c>
      <c r="F66" s="51" t="n">
        <f aca="false">IFERROR(E66/E$49,0)</f>
        <v>0.231778846153846</v>
      </c>
    </row>
  </sheetData>
  <mergeCells count="10">
    <mergeCell ref="A1:F1"/>
    <mergeCell ref="H1:J1"/>
    <mergeCell ref="H17:J17"/>
    <mergeCell ref="A20:F20"/>
    <mergeCell ref="B21:C21"/>
    <mergeCell ref="E21:F21"/>
    <mergeCell ref="H28:K28"/>
    <mergeCell ref="A44:F44"/>
    <mergeCell ref="B45:C45"/>
    <mergeCell ref="E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3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3"/>
    <col collapsed="false" customWidth="true" hidden="false" outlineLevel="0" max="8" min="8" style="0" width="24"/>
    <col collapsed="false" customWidth="true" hidden="false" outlineLevel="0" max="11" min="9" style="0" width="14"/>
  </cols>
  <sheetData>
    <row r="1" customFormat="false" ht="19.7" hidden="false" customHeight="false" outlineLevel="0" collapsed="false">
      <c r="A1" s="14" t="s">
        <v>12</v>
      </c>
      <c r="B1" s="14"/>
      <c r="C1" s="14"/>
      <c r="D1" s="14"/>
      <c r="E1" s="14"/>
      <c r="F1" s="14"/>
      <c r="H1" s="15" t="s">
        <v>15</v>
      </c>
      <c r="I1" s="15"/>
      <c r="J1" s="15"/>
    </row>
    <row r="2" customFormat="false" ht="15" hidden="false" customHeight="false" outlineLevel="0" collapsed="false">
      <c r="H2" s="16" t="s">
        <v>16</v>
      </c>
      <c r="I2" s="17" t="s">
        <v>17</v>
      </c>
      <c r="J2" s="17" t="s">
        <v>18</v>
      </c>
    </row>
    <row r="3" customFormat="false" ht="15" hidden="false" customHeight="false" outlineLevel="0" collapsed="false">
      <c r="A3" s="18" t="s">
        <v>19</v>
      </c>
      <c r="B3" s="19"/>
      <c r="D3" s="18" t="s">
        <v>20</v>
      </c>
      <c r="E3" s="19"/>
      <c r="H3" s="20" t="s">
        <v>21</v>
      </c>
      <c r="I3" s="21" t="n">
        <v>0</v>
      </c>
      <c r="J3" s="21"/>
    </row>
    <row r="4" customFormat="false" ht="15" hidden="false" customHeight="false" outlineLevel="0" collapsed="false">
      <c r="A4" s="22" t="s">
        <v>22</v>
      </c>
      <c r="B4" s="23" t="n">
        <v>17.5</v>
      </c>
      <c r="D4" s="22" t="s">
        <v>23</v>
      </c>
      <c r="E4" s="24" t="n">
        <v>0</v>
      </c>
      <c r="H4" s="20" t="s">
        <v>24</v>
      </c>
      <c r="I4" s="21" t="n">
        <v>0</v>
      </c>
      <c r="J4" s="21"/>
    </row>
    <row r="5" customFormat="false" ht="15" hidden="false" customHeight="false" outlineLevel="0" collapsed="false">
      <c r="A5" s="22" t="s">
        <v>25</v>
      </c>
      <c r="B5" s="24" t="n">
        <v>0.09</v>
      </c>
      <c r="D5" s="22" t="s">
        <v>26</v>
      </c>
      <c r="E5" s="24" t="n">
        <v>0.45</v>
      </c>
      <c r="H5" s="20" t="s">
        <v>27</v>
      </c>
      <c r="I5" s="21" t="n">
        <v>0</v>
      </c>
      <c r="J5" s="21"/>
    </row>
    <row r="6" customFormat="false" ht="15" hidden="false" customHeight="false" outlineLevel="0" collapsed="false">
      <c r="A6" s="22" t="s">
        <v>28</v>
      </c>
      <c r="B6" s="24" t="n">
        <v>0.48</v>
      </c>
      <c r="D6" s="22" t="s">
        <v>29</v>
      </c>
      <c r="E6" s="24" t="n">
        <v>0</v>
      </c>
      <c r="H6" s="20" t="s">
        <v>30</v>
      </c>
      <c r="I6" s="21" t="n">
        <v>0</v>
      </c>
      <c r="J6" s="21"/>
    </row>
    <row r="7" customFormat="false" ht="15" hidden="false" customHeight="false" outlineLevel="0" collapsed="false">
      <c r="A7" s="22" t="s">
        <v>31</v>
      </c>
      <c r="B7" s="25" t="n">
        <v>2000</v>
      </c>
      <c r="H7" s="20" t="s">
        <v>32</v>
      </c>
      <c r="I7" s="21" t="n">
        <v>0</v>
      </c>
      <c r="J7" s="21"/>
    </row>
    <row r="8" customFormat="false" ht="15" hidden="false" customHeight="false" outlineLevel="0" collapsed="false">
      <c r="H8" s="20" t="s">
        <v>33</v>
      </c>
      <c r="I8" s="21" t="n">
        <v>0</v>
      </c>
      <c r="J8" s="21"/>
    </row>
    <row r="9" customFormat="false" ht="15" hidden="false" customHeight="false" outlineLevel="0" collapsed="false">
      <c r="A9" s="18" t="s">
        <v>34</v>
      </c>
      <c r="B9" s="19"/>
      <c r="H9" s="20" t="s">
        <v>35</v>
      </c>
      <c r="I9" s="21" t="n">
        <v>0</v>
      </c>
      <c r="J9" s="21"/>
    </row>
    <row r="10" customFormat="false" ht="15" hidden="false" customHeight="false" outlineLevel="0" collapsed="false">
      <c r="A10" s="22" t="s">
        <v>36</v>
      </c>
      <c r="B10" s="23" t="n">
        <v>1.2</v>
      </c>
      <c r="H10" s="20" t="s">
        <v>37</v>
      </c>
      <c r="I10" s="26" t="n">
        <f aca="false">$B$10*$B$7</f>
        <v>2400</v>
      </c>
      <c r="J10" s="27"/>
    </row>
    <row r="11" customFormat="false" ht="15" hidden="false" customHeight="false" outlineLevel="0" collapsed="false">
      <c r="A11" s="22" t="s">
        <v>38</v>
      </c>
      <c r="B11" s="23" t="n">
        <v>1.2</v>
      </c>
      <c r="H11" s="20" t="s">
        <v>39</v>
      </c>
      <c r="I11" s="42" t="n">
        <v>5200</v>
      </c>
      <c r="J11" s="21"/>
    </row>
    <row r="12" customFormat="false" ht="15" hidden="false" customHeight="false" outlineLevel="0" collapsed="false">
      <c r="A12" s="22" t="s">
        <v>40</v>
      </c>
      <c r="B12" s="23" t="n">
        <v>4.7</v>
      </c>
    </row>
    <row r="13" customFormat="false" ht="15" hidden="false" customHeight="false" outlineLevel="0" collapsed="false">
      <c r="A13" s="22" t="s">
        <v>41</v>
      </c>
      <c r="B13" s="23" t="n">
        <v>1.1</v>
      </c>
      <c r="H13" s="10" t="s">
        <v>42</v>
      </c>
      <c r="I13" s="28" t="n">
        <f aca="false">SUM(I3:I9,I11)</f>
        <v>5200</v>
      </c>
      <c r="J13" s="28" t="n">
        <f aca="false">SUM(J3:J9,J11)</f>
        <v>0</v>
      </c>
    </row>
    <row r="14" customFormat="false" ht="15" hidden="false" customHeight="false" outlineLevel="0" collapsed="false">
      <c r="A14" s="22" t="s">
        <v>43</v>
      </c>
      <c r="B14" s="24" t="n">
        <v>0.03</v>
      </c>
      <c r="H14" s="10" t="s">
        <v>44</v>
      </c>
      <c r="I14" s="29" t="n">
        <f aca="false">SUM(I3:I11)</f>
        <v>7600</v>
      </c>
      <c r="J14" s="29" t="n">
        <f aca="false">SUM(J3:J11)</f>
        <v>0</v>
      </c>
    </row>
    <row r="15" customFormat="false" ht="15" hidden="false" customHeight="false" outlineLevel="0" collapsed="false">
      <c r="A15" s="22" t="s">
        <v>45</v>
      </c>
      <c r="B15" s="24" t="n">
        <v>0</v>
      </c>
      <c r="H15" s="10" t="s">
        <v>46</v>
      </c>
      <c r="I15" s="30" t="n">
        <f aca="false">IFERROR(I13/$B$7,0)</f>
        <v>2.6</v>
      </c>
      <c r="J15" s="30" t="n">
        <f aca="false">IFERROR(J13/$B$7,0)</f>
        <v>0</v>
      </c>
    </row>
    <row r="16" customFormat="false" ht="15" hidden="false" customHeight="false" outlineLevel="0" collapsed="false">
      <c r="A16" s="22" t="s">
        <v>47</v>
      </c>
      <c r="B16" s="24" t="n">
        <v>0</v>
      </c>
    </row>
    <row r="17" customFormat="false" ht="15" hidden="false" customHeight="false" outlineLevel="0" collapsed="false">
      <c r="A17" s="22" t="s">
        <v>48</v>
      </c>
      <c r="B17" s="23" t="n">
        <v>0</v>
      </c>
      <c r="H17" s="15" t="s">
        <v>49</v>
      </c>
      <c r="I17" s="15"/>
      <c r="J17" s="15"/>
    </row>
    <row r="18" customFormat="false" ht="15" hidden="false" customHeight="false" outlineLevel="0" collapsed="false">
      <c r="A18" s="22" t="s">
        <v>50</v>
      </c>
      <c r="B18" s="24" t="n">
        <v>0</v>
      </c>
      <c r="H18" s="16" t="s">
        <v>16</v>
      </c>
      <c r="I18" s="17" t="s">
        <v>17</v>
      </c>
      <c r="J18" s="17" t="s">
        <v>18</v>
      </c>
    </row>
    <row r="19" customFormat="false" ht="15" hidden="false" customHeight="false" outlineLevel="0" collapsed="false">
      <c r="H19" s="20" t="s">
        <v>51</v>
      </c>
      <c r="I19" s="21" t="n">
        <v>0</v>
      </c>
      <c r="J19" s="21"/>
    </row>
    <row r="20" customFormat="false" ht="15" hidden="false" customHeight="false" outlineLevel="0" collapsed="false">
      <c r="A20" s="3" t="s">
        <v>2</v>
      </c>
      <c r="B20" s="3"/>
      <c r="C20" s="3"/>
      <c r="D20" s="3"/>
      <c r="E20" s="3"/>
      <c r="F20" s="3"/>
      <c r="H20" s="20" t="s">
        <v>52</v>
      </c>
      <c r="I20" s="21" t="n">
        <v>0</v>
      </c>
      <c r="J20" s="21"/>
    </row>
    <row r="21" customFormat="false" ht="15" hidden="false" customHeight="false" outlineLevel="0" collapsed="false">
      <c r="B21" s="31" t="s">
        <v>53</v>
      </c>
      <c r="C21" s="31"/>
      <c r="E21" s="32" t="s">
        <v>54</v>
      </c>
      <c r="F21" s="32"/>
      <c r="H21" s="20" t="s">
        <v>55</v>
      </c>
      <c r="I21" s="21" t="n">
        <v>0</v>
      </c>
      <c r="J21" s="21"/>
    </row>
    <row r="22" customFormat="false" ht="15" hidden="false" customHeight="false" outlineLevel="0" collapsed="false">
      <c r="B22" s="33" t="s">
        <v>56</v>
      </c>
      <c r="C22" s="33" t="s">
        <v>57</v>
      </c>
      <c r="E22" s="33" t="s">
        <v>56</v>
      </c>
      <c r="F22" s="33" t="s">
        <v>57</v>
      </c>
      <c r="H22" s="20" t="s">
        <v>58</v>
      </c>
      <c r="I22" s="21" t="n">
        <v>0</v>
      </c>
      <c r="J22" s="21"/>
    </row>
    <row r="23" customFormat="false" ht="15" hidden="false" customHeight="false" outlineLevel="0" collapsed="false">
      <c r="A23" s="22" t="s">
        <v>59</v>
      </c>
      <c r="B23" s="34" t="n">
        <f aca="false">$B$4/(1+$B$5)</f>
        <v>16.0550458715596</v>
      </c>
      <c r="E23" s="34" t="n">
        <f aca="false">$B$4/(1+$B$5)</f>
        <v>16.0550458715596</v>
      </c>
      <c r="H23" s="20" t="s">
        <v>60</v>
      </c>
      <c r="I23" s="21" t="n">
        <v>0</v>
      </c>
      <c r="J23" s="21"/>
    </row>
    <row r="24" customFormat="false" ht="15" hidden="false" customHeight="false" outlineLevel="0" collapsed="false">
      <c r="A24" s="22" t="s">
        <v>61</v>
      </c>
      <c r="B24" s="34" t="n">
        <v>0</v>
      </c>
      <c r="C24" s="35" t="n">
        <v>0</v>
      </c>
      <c r="E24" s="34" t="n">
        <f aca="false">E23*$B$6</f>
        <v>7.70642201834862</v>
      </c>
      <c r="F24" s="35" t="n">
        <f aca="false">$B$6</f>
        <v>0.48</v>
      </c>
    </row>
    <row r="25" customFormat="false" ht="15" hidden="false" customHeight="false" outlineLevel="0" collapsed="false">
      <c r="A25" s="36" t="s">
        <v>62</v>
      </c>
      <c r="B25" s="28" t="n">
        <f aca="false">B23</f>
        <v>16.0550458715596</v>
      </c>
      <c r="C25" s="37"/>
      <c r="E25" s="28" t="n">
        <f aca="false">E23-E24</f>
        <v>8.34862385321101</v>
      </c>
      <c r="F25" s="37"/>
      <c r="H25" s="10" t="s">
        <v>63</v>
      </c>
      <c r="I25" s="28" t="n">
        <f aca="false">SUM(I19:I23)</f>
        <v>0</v>
      </c>
      <c r="J25" s="28" t="n">
        <f aca="false">SUM(J19:J23)</f>
        <v>0</v>
      </c>
    </row>
    <row r="27" customFormat="false" ht="15" hidden="false" customHeight="false" outlineLevel="0" collapsed="false">
      <c r="A27" s="22" t="s">
        <v>64</v>
      </c>
      <c r="B27" s="34" t="n">
        <f aca="false">$B$10</f>
        <v>1.2</v>
      </c>
      <c r="C27" s="35" t="n">
        <f aca="false">IFERROR(B27/B$25,0)</f>
        <v>0.0747428571428572</v>
      </c>
      <c r="E27" s="34" t="n">
        <f aca="false">$B$10</f>
        <v>1.2</v>
      </c>
      <c r="F27" s="35" t="n">
        <f aca="false">IFERROR(E27/E$25,0)</f>
        <v>0.143736263736264</v>
      </c>
    </row>
    <row r="28" customFormat="false" ht="15" hidden="false" customHeight="false" outlineLevel="0" collapsed="false">
      <c r="A28" s="22" t="s">
        <v>65</v>
      </c>
      <c r="B28" s="38" t="n">
        <f aca="false">IFERROR(I15/$B$7,0)</f>
        <v>0.0013</v>
      </c>
      <c r="C28" s="35" t="n">
        <f aca="false">IFERROR(B28/B$25,0)</f>
        <v>8.09714285714286E-005</v>
      </c>
      <c r="E28" s="38" t="n">
        <f aca="false">IFERROR(I15/$B$7,0)</f>
        <v>0.0013</v>
      </c>
      <c r="F28" s="35" t="n">
        <f aca="false">IFERROR(E28/E$25,0)</f>
        <v>0.000155714285714286</v>
      </c>
      <c r="H28" s="15" t="s">
        <v>66</v>
      </c>
      <c r="I28" s="15"/>
      <c r="J28" s="15"/>
      <c r="K28" s="15"/>
    </row>
    <row r="29" customFormat="false" ht="15" hidden="false" customHeight="false" outlineLevel="0" collapsed="false">
      <c r="A29" s="22" t="s">
        <v>67</v>
      </c>
      <c r="B29" s="34" t="n">
        <f aca="false">$B$12</f>
        <v>4.7</v>
      </c>
      <c r="C29" s="35" t="n">
        <f aca="false">IFERROR(B29/B$25,0)</f>
        <v>0.292742857142857</v>
      </c>
      <c r="E29" s="34" t="n">
        <v>0</v>
      </c>
      <c r="F29" s="35" t="n">
        <v>0</v>
      </c>
      <c r="G29" s="39" t="s">
        <v>68</v>
      </c>
      <c r="H29" s="16" t="s">
        <v>69</v>
      </c>
      <c r="I29" s="17" t="s">
        <v>70</v>
      </c>
      <c r="J29" s="17" t="s">
        <v>71</v>
      </c>
      <c r="K29" s="17" t="s">
        <v>72</v>
      </c>
    </row>
    <row r="30" customFormat="false" ht="15" hidden="false" customHeight="false" outlineLevel="0" collapsed="false">
      <c r="A30" s="22" t="s">
        <v>73</v>
      </c>
      <c r="B30" s="34" t="n">
        <v>0</v>
      </c>
      <c r="C30" s="35" t="n">
        <v>0</v>
      </c>
      <c r="E30" s="34" t="n">
        <f aca="false">$B$13</f>
        <v>1.1</v>
      </c>
      <c r="F30" s="35" t="n">
        <f aca="false">IFERROR(E30/E$25,0)</f>
        <v>0.131758241758242</v>
      </c>
      <c r="G30" s="39" t="s">
        <v>74</v>
      </c>
      <c r="H30" s="20" t="s">
        <v>75</v>
      </c>
      <c r="I30" s="40" t="n">
        <f aca="false">$B$7</f>
        <v>2000</v>
      </c>
      <c r="J30" s="26" t="n">
        <f aca="false">$B$10</f>
        <v>1.2</v>
      </c>
      <c r="K30" s="26" t="n">
        <f aca="false">I30*J30</f>
        <v>2400</v>
      </c>
    </row>
    <row r="31" customFormat="false" ht="15" hidden="false" customHeight="false" outlineLevel="0" collapsed="false">
      <c r="A31" s="22" t="s">
        <v>76</v>
      </c>
      <c r="B31" s="34" t="n">
        <f aca="false">$B$4*$B$14</f>
        <v>0.525</v>
      </c>
      <c r="C31" s="35" t="n">
        <f aca="false">IFERROR(B31/B$25,0)</f>
        <v>0.0327</v>
      </c>
      <c r="E31" s="34" t="n">
        <v>0</v>
      </c>
      <c r="F31" s="35" t="n">
        <v>0</v>
      </c>
      <c r="G31" s="39" t="s">
        <v>68</v>
      </c>
      <c r="H31" s="20" t="s">
        <v>77</v>
      </c>
      <c r="I31" s="41" t="n">
        <v>0</v>
      </c>
      <c r="J31" s="42" t="n">
        <v>0</v>
      </c>
      <c r="K31" s="26" t="n">
        <f aca="false">I31*J31</f>
        <v>0</v>
      </c>
    </row>
    <row r="32" customFormat="false" ht="15" hidden="false" customHeight="false" outlineLevel="0" collapsed="false">
      <c r="A32" s="22" t="s">
        <v>78</v>
      </c>
      <c r="B32" s="34" t="n">
        <f aca="false">$B$17</f>
        <v>0</v>
      </c>
      <c r="C32" s="35" t="n">
        <f aca="false">IFERROR(B32/B$25,0)</f>
        <v>0</v>
      </c>
      <c r="E32" s="34" t="n">
        <v>0</v>
      </c>
      <c r="F32" s="35" t="n">
        <v>0</v>
      </c>
      <c r="G32" s="39" t="s">
        <v>68</v>
      </c>
      <c r="H32" s="20" t="s">
        <v>79</v>
      </c>
      <c r="I32" s="41" t="n">
        <v>0</v>
      </c>
      <c r="J32" s="42" t="n">
        <v>0</v>
      </c>
      <c r="K32" s="26" t="n">
        <f aca="false">I32*J32</f>
        <v>0</v>
      </c>
    </row>
    <row r="33" customFormat="false" ht="15" hidden="false" customHeight="false" outlineLevel="0" collapsed="false">
      <c r="A33" s="22" t="s">
        <v>80</v>
      </c>
      <c r="B33" s="34" t="n">
        <f aca="false">B23*$B$15</f>
        <v>0</v>
      </c>
      <c r="C33" s="35" t="n">
        <f aca="false">IFERROR(B33/B$25,0)</f>
        <v>0</v>
      </c>
      <c r="E33" s="34" t="n">
        <f aca="false">E23*$B$15</f>
        <v>0</v>
      </c>
      <c r="F33" s="35" t="n">
        <f aca="false">IFERROR(E33/E$25,0)</f>
        <v>0</v>
      </c>
      <c r="H33" s="20" t="s">
        <v>81</v>
      </c>
      <c r="I33" s="41" t="n">
        <v>0</v>
      </c>
      <c r="J33" s="42" t="n">
        <v>0</v>
      </c>
      <c r="K33" s="26" t="n">
        <f aca="false">I33*J33</f>
        <v>0</v>
      </c>
    </row>
    <row r="34" customFormat="false" ht="15" hidden="false" customHeight="false" outlineLevel="0" collapsed="false">
      <c r="A34" s="22" t="s">
        <v>82</v>
      </c>
      <c r="B34" s="34" t="n">
        <f aca="false">B23*$B$16</f>
        <v>0</v>
      </c>
      <c r="C34" s="35" t="n">
        <f aca="false">IFERROR(B34/B$25,0)</f>
        <v>0</v>
      </c>
      <c r="E34" s="34" t="n">
        <f aca="false">E23*$B$16</f>
        <v>0</v>
      </c>
      <c r="F34" s="35" t="n">
        <f aca="false">IFERROR(E34/E$25,0)</f>
        <v>0</v>
      </c>
      <c r="H34" s="20" t="s">
        <v>83</v>
      </c>
      <c r="I34" s="41" t="n">
        <v>0</v>
      </c>
      <c r="J34" s="42" t="n">
        <v>0</v>
      </c>
      <c r="K34" s="26" t="n">
        <f aca="false">I34*J34</f>
        <v>0</v>
      </c>
    </row>
    <row r="35" customFormat="false" ht="15" hidden="false" customHeight="false" outlineLevel="0" collapsed="false">
      <c r="A35" s="22" t="s">
        <v>84</v>
      </c>
      <c r="B35" s="34" t="n">
        <f aca="false">B25*$B$18</f>
        <v>0</v>
      </c>
      <c r="C35" s="35" t="n">
        <f aca="false">$B$18</f>
        <v>0</v>
      </c>
      <c r="E35" s="34" t="n">
        <f aca="false">E25*$B$18</f>
        <v>0</v>
      </c>
      <c r="F35" s="35" t="n">
        <f aca="false">$B$18</f>
        <v>0</v>
      </c>
    </row>
    <row r="36" customFormat="false" ht="15" hidden="false" customHeight="false" outlineLevel="0" collapsed="false">
      <c r="A36" s="36" t="s">
        <v>85</v>
      </c>
      <c r="B36" s="43" t="n">
        <f aca="false">SUM(B27:B35)</f>
        <v>6.4263</v>
      </c>
      <c r="C36" s="44" t="n">
        <f aca="false">IFERROR(B36/B$25,0)</f>
        <v>0.400266685714286</v>
      </c>
      <c r="E36" s="43" t="n">
        <f aca="false">SUM(E27:E35)</f>
        <v>2.3013</v>
      </c>
      <c r="F36" s="44" t="n">
        <f aca="false">IFERROR(E36/E$25,0)</f>
        <v>0.27565021978022</v>
      </c>
      <c r="H36" s="10" t="s">
        <v>86</v>
      </c>
      <c r="I36" s="45" t="n">
        <f aca="false">SUM(I30:I34)</f>
        <v>2000</v>
      </c>
      <c r="J36" s="46"/>
      <c r="K36" s="28" t="n">
        <f aca="false">SUM(K30:K34)</f>
        <v>2400</v>
      </c>
    </row>
    <row r="37" customFormat="false" ht="15" hidden="false" customHeight="false" outlineLevel="0" collapsed="false">
      <c r="H37" s="10" t="s">
        <v>87</v>
      </c>
      <c r="I37" s="46"/>
      <c r="J37" s="29" t="n">
        <f aca="false">IFERROR(K36/I36,0)</f>
        <v>1.2</v>
      </c>
      <c r="K37" s="46"/>
    </row>
    <row r="38" customFormat="false" ht="15" hidden="false" customHeight="false" outlineLevel="0" collapsed="false">
      <c r="A38" s="36" t="s">
        <v>88</v>
      </c>
      <c r="B38" s="47" t="n">
        <f aca="false">B25-B36</f>
        <v>9.62874587155963</v>
      </c>
      <c r="C38" s="48" t="n">
        <f aca="false">IFERROR(B38/B$25,0)</f>
        <v>0.599733314285714</v>
      </c>
      <c r="E38" s="47" t="n">
        <f aca="false">E25-E36</f>
        <v>6.04732385321101</v>
      </c>
      <c r="F38" s="48" t="n">
        <f aca="false">IFERROR(E38/E$25,0)</f>
        <v>0.72434978021978</v>
      </c>
    </row>
    <row r="39" customFormat="false" ht="15" hidden="false" customHeight="false" outlineLevel="0" collapsed="false">
      <c r="A39" s="22" t="s">
        <v>89</v>
      </c>
      <c r="B39" s="34" t="n">
        <f aca="false">B23*$E$4</f>
        <v>0</v>
      </c>
      <c r="C39" s="35" t="n">
        <f aca="false">IFERROR(B39/B$25,0)</f>
        <v>0</v>
      </c>
      <c r="E39" s="34" t="n">
        <f aca="false">E23*$E$4</f>
        <v>0</v>
      </c>
      <c r="F39" s="35" t="n">
        <f aca="false">IFERROR(E39/E$25,0)</f>
        <v>0</v>
      </c>
      <c r="G39" s="39" t="s">
        <v>90</v>
      </c>
    </row>
    <row r="40" customFormat="false" ht="15" hidden="false" customHeight="false" outlineLevel="0" collapsed="false">
      <c r="A40" s="22" t="s">
        <v>91</v>
      </c>
      <c r="B40" s="34" t="n">
        <f aca="false">(B38-B39)*$E$5</f>
        <v>4.33293564220183</v>
      </c>
      <c r="C40" s="35" t="n">
        <f aca="false">IFERROR(B40/B$25,0)</f>
        <v>0.269879991428571</v>
      </c>
      <c r="E40" s="34" t="n">
        <f aca="false">(E38-E39)*$E$5</f>
        <v>2.72129573394495</v>
      </c>
      <c r="F40" s="35" t="n">
        <f aca="false">IFERROR(E40/E$25,0)</f>
        <v>0.325957401098901</v>
      </c>
      <c r="G40" s="39" t="s">
        <v>92</v>
      </c>
    </row>
    <row r="41" customFormat="false" ht="15" hidden="false" customHeight="false" outlineLevel="0" collapsed="false">
      <c r="A41" s="22" t="s">
        <v>93</v>
      </c>
      <c r="B41" s="34" t="n">
        <f aca="false">(B38-B39)*$E$6</f>
        <v>0</v>
      </c>
      <c r="C41" s="35" t="n">
        <f aca="false">IFERROR(B41/B$25,0)</f>
        <v>0</v>
      </c>
      <c r="E41" s="34" t="n">
        <f aca="false">(E38-E39)*$E$6</f>
        <v>0</v>
      </c>
      <c r="F41" s="35" t="n">
        <f aca="false">IFERROR(E41/E$25,0)</f>
        <v>0</v>
      </c>
    </row>
    <row r="42" customFormat="false" ht="15" hidden="false" customHeight="false" outlineLevel="0" collapsed="false">
      <c r="A42" s="49" t="s">
        <v>94</v>
      </c>
      <c r="B42" s="50" t="n">
        <f aca="false">B38-B39-B40-B41</f>
        <v>5.2958102293578</v>
      </c>
      <c r="C42" s="51" t="n">
        <f aca="false">IFERROR(B42/B$25,0)</f>
        <v>0.329853322857143</v>
      </c>
      <c r="D42" s="52"/>
      <c r="E42" s="50" t="n">
        <f aca="false">E38-E39-E40-E41</f>
        <v>3.32602811926606</v>
      </c>
      <c r="F42" s="51" t="n">
        <f aca="false">IFERROR(E42/E$25,0)</f>
        <v>0.398392379120879</v>
      </c>
    </row>
    <row r="44" customFormat="false" ht="15" hidden="false" customHeight="false" outlineLevel="0" collapsed="false">
      <c r="A44" s="4" t="s">
        <v>3</v>
      </c>
      <c r="B44" s="4"/>
      <c r="C44" s="4"/>
      <c r="D44" s="4"/>
      <c r="E44" s="4"/>
      <c r="F44" s="4"/>
    </row>
    <row r="45" customFormat="false" ht="15" hidden="false" customHeight="false" outlineLevel="0" collapsed="false">
      <c r="B45" s="31" t="s">
        <v>53</v>
      </c>
      <c r="C45" s="31"/>
      <c r="E45" s="32" t="s">
        <v>54</v>
      </c>
      <c r="F45" s="32"/>
    </row>
    <row r="46" customFormat="false" ht="15" hidden="false" customHeight="false" outlineLevel="0" collapsed="false">
      <c r="B46" s="33" t="s">
        <v>56</v>
      </c>
      <c r="C46" s="33" t="s">
        <v>57</v>
      </c>
      <c r="E46" s="33" t="s">
        <v>56</v>
      </c>
      <c r="F46" s="33" t="s">
        <v>57</v>
      </c>
    </row>
    <row r="47" customFormat="false" ht="15" hidden="false" customHeight="false" outlineLevel="0" collapsed="false">
      <c r="A47" s="22" t="s">
        <v>59</v>
      </c>
      <c r="B47" s="34" t="n">
        <f aca="false">$B$4/(1+$B$5)</f>
        <v>16.0550458715596</v>
      </c>
      <c r="E47" s="34" t="n">
        <f aca="false">$B$4/(1+$B$5)</f>
        <v>16.0550458715596</v>
      </c>
    </row>
    <row r="48" customFormat="false" ht="15" hidden="false" customHeight="false" outlineLevel="0" collapsed="false">
      <c r="A48" s="22" t="s">
        <v>61</v>
      </c>
      <c r="B48" s="34" t="n">
        <v>0</v>
      </c>
      <c r="C48" s="35" t="n">
        <v>0</v>
      </c>
      <c r="E48" s="34" t="n">
        <f aca="false">E47*$B$6</f>
        <v>7.70642201834862</v>
      </c>
      <c r="F48" s="35" t="n">
        <f aca="false">$B$6</f>
        <v>0.48</v>
      </c>
    </row>
    <row r="49" customFormat="false" ht="15" hidden="false" customHeight="false" outlineLevel="0" collapsed="false">
      <c r="A49" s="36" t="s">
        <v>62</v>
      </c>
      <c r="B49" s="28" t="n">
        <f aca="false">B47</f>
        <v>16.0550458715596</v>
      </c>
      <c r="C49" s="37"/>
      <c r="E49" s="28" t="n">
        <f aca="false">E47-E48</f>
        <v>8.34862385321101</v>
      </c>
      <c r="F49" s="37"/>
    </row>
    <row r="51" customFormat="false" ht="15" hidden="false" customHeight="false" outlineLevel="0" collapsed="false">
      <c r="A51" s="22" t="s">
        <v>64</v>
      </c>
      <c r="B51" s="34" t="n">
        <f aca="false">$B$11</f>
        <v>1.2</v>
      </c>
      <c r="C51" s="35" t="n">
        <f aca="false">IFERROR(B51/B$49,0)</f>
        <v>0.0747428571428572</v>
      </c>
      <c r="E51" s="34" t="n">
        <f aca="false">$B$11</f>
        <v>1.2</v>
      </c>
      <c r="F51" s="35" t="n">
        <f aca="false">IFERROR(E51/E$49,0)</f>
        <v>0.143736263736264</v>
      </c>
    </row>
    <row r="52" customFormat="false" ht="15" hidden="false" customHeight="false" outlineLevel="0" collapsed="false">
      <c r="A52" s="22" t="s">
        <v>65</v>
      </c>
      <c r="B52" s="34" t="n">
        <v>0</v>
      </c>
      <c r="C52" s="35" t="n">
        <f aca="false">IFERROR(B52/B$49,0)</f>
        <v>0</v>
      </c>
      <c r="E52" s="34" t="n">
        <v>0</v>
      </c>
      <c r="F52" s="35" t="n">
        <f aca="false">IFERROR(E52/E$49,0)</f>
        <v>0</v>
      </c>
      <c r="G52" s="39" t="s">
        <v>95</v>
      </c>
    </row>
    <row r="53" customFormat="false" ht="15" hidden="false" customHeight="false" outlineLevel="0" collapsed="false">
      <c r="A53" s="22" t="s">
        <v>67</v>
      </c>
      <c r="B53" s="34" t="n">
        <f aca="false">$B$12</f>
        <v>4.7</v>
      </c>
      <c r="C53" s="35" t="n">
        <f aca="false">IFERROR(B53/B$49,0)</f>
        <v>0.292742857142857</v>
      </c>
      <c r="E53" s="34" t="n">
        <v>0</v>
      </c>
      <c r="F53" s="35" t="n">
        <v>0</v>
      </c>
      <c r="G53" s="39" t="s">
        <v>68</v>
      </c>
    </row>
    <row r="54" customFormat="false" ht="15" hidden="false" customHeight="false" outlineLevel="0" collapsed="false">
      <c r="A54" s="22" t="s">
        <v>73</v>
      </c>
      <c r="B54" s="34" t="n">
        <v>0</v>
      </c>
      <c r="C54" s="35" t="n">
        <v>0</v>
      </c>
      <c r="E54" s="34" t="n">
        <f aca="false">$B$13</f>
        <v>1.1</v>
      </c>
      <c r="F54" s="35" t="n">
        <f aca="false">IFERROR(E54/E$49,0)</f>
        <v>0.131758241758242</v>
      </c>
      <c r="G54" s="39" t="s">
        <v>74</v>
      </c>
    </row>
    <row r="55" customFormat="false" ht="15" hidden="false" customHeight="false" outlineLevel="0" collapsed="false">
      <c r="A55" s="22" t="s">
        <v>76</v>
      </c>
      <c r="B55" s="34" t="n">
        <f aca="false">$B$4*$B$14</f>
        <v>0.525</v>
      </c>
      <c r="C55" s="35" t="n">
        <f aca="false">IFERROR(B55/B$49,0)</f>
        <v>0.0327</v>
      </c>
      <c r="E55" s="34" t="n">
        <v>0</v>
      </c>
      <c r="F55" s="35" t="n">
        <v>0</v>
      </c>
      <c r="G55" s="39" t="s">
        <v>68</v>
      </c>
    </row>
    <row r="56" customFormat="false" ht="15" hidden="false" customHeight="false" outlineLevel="0" collapsed="false">
      <c r="A56" s="22" t="s">
        <v>78</v>
      </c>
      <c r="B56" s="34" t="n">
        <f aca="false">$B$17</f>
        <v>0</v>
      </c>
      <c r="C56" s="35" t="n">
        <f aca="false">IFERROR(B56/B$49,0)</f>
        <v>0</v>
      </c>
      <c r="E56" s="34" t="n">
        <v>0</v>
      </c>
      <c r="F56" s="35" t="n">
        <v>0</v>
      </c>
      <c r="G56" s="39" t="s">
        <v>68</v>
      </c>
    </row>
    <row r="57" customFormat="false" ht="15" hidden="false" customHeight="false" outlineLevel="0" collapsed="false">
      <c r="A57" s="22" t="s">
        <v>80</v>
      </c>
      <c r="B57" s="34" t="n">
        <f aca="false">B47*$B$15</f>
        <v>0</v>
      </c>
      <c r="C57" s="35" t="n">
        <f aca="false">IFERROR(B57/B$49,0)</f>
        <v>0</v>
      </c>
      <c r="E57" s="34" t="n">
        <f aca="false">E47*$B$15</f>
        <v>0</v>
      </c>
      <c r="F57" s="35" t="n">
        <f aca="false">IFERROR(E57/E$49,0)</f>
        <v>0</v>
      </c>
    </row>
    <row r="58" customFormat="false" ht="15" hidden="false" customHeight="false" outlineLevel="0" collapsed="false">
      <c r="A58" s="22" t="s">
        <v>82</v>
      </c>
      <c r="B58" s="34" t="n">
        <f aca="false">B47*$B$16</f>
        <v>0</v>
      </c>
      <c r="C58" s="35" t="n">
        <f aca="false">IFERROR(B58/B$49,0)</f>
        <v>0</v>
      </c>
      <c r="E58" s="34" t="n">
        <f aca="false">E47*$B$16</f>
        <v>0</v>
      </c>
      <c r="F58" s="35" t="n">
        <f aca="false">IFERROR(E58/E$49,0)</f>
        <v>0</v>
      </c>
    </row>
    <row r="59" customFormat="false" ht="15" hidden="false" customHeight="false" outlineLevel="0" collapsed="false">
      <c r="A59" s="22" t="s">
        <v>84</v>
      </c>
      <c r="B59" s="34" t="n">
        <f aca="false">B49*$B$18</f>
        <v>0</v>
      </c>
      <c r="C59" s="35" t="n">
        <f aca="false">$B$18</f>
        <v>0</v>
      </c>
      <c r="E59" s="34" t="n">
        <f aca="false">E49*$B$18</f>
        <v>0</v>
      </c>
      <c r="F59" s="35" t="n">
        <f aca="false">$B$18</f>
        <v>0</v>
      </c>
    </row>
    <row r="60" customFormat="false" ht="15" hidden="false" customHeight="false" outlineLevel="0" collapsed="false">
      <c r="A60" s="36" t="s">
        <v>85</v>
      </c>
      <c r="B60" s="43" t="n">
        <f aca="false">SUM(B51:B59)</f>
        <v>6.425</v>
      </c>
      <c r="C60" s="44" t="n">
        <f aca="false">IFERROR(B60/B$49,0)</f>
        <v>0.400185714285714</v>
      </c>
      <c r="E60" s="43" t="n">
        <f aca="false">SUM(E51:E59)</f>
        <v>2.3</v>
      </c>
      <c r="F60" s="44" t="n">
        <f aca="false">IFERROR(E60/E$49,0)</f>
        <v>0.275494505494506</v>
      </c>
    </row>
    <row r="62" customFormat="false" ht="15" hidden="false" customHeight="false" outlineLevel="0" collapsed="false">
      <c r="A62" s="36" t="s">
        <v>88</v>
      </c>
      <c r="B62" s="47" t="n">
        <f aca="false">B49-B60</f>
        <v>9.63004587155963</v>
      </c>
      <c r="C62" s="48" t="n">
        <f aca="false">IFERROR(B62/B$49,0)</f>
        <v>0.599814285714286</v>
      </c>
      <c r="E62" s="47" t="n">
        <f aca="false">E49-E60</f>
        <v>6.04862385321101</v>
      </c>
      <c r="F62" s="48" t="n">
        <f aca="false">IFERROR(E62/E$49,0)</f>
        <v>0.724505494505495</v>
      </c>
    </row>
    <row r="63" customFormat="false" ht="15" hidden="false" customHeight="false" outlineLevel="0" collapsed="false">
      <c r="A63" s="22" t="s">
        <v>89</v>
      </c>
      <c r="B63" s="34" t="n">
        <f aca="false">B47*$E$4</f>
        <v>0</v>
      </c>
      <c r="C63" s="35" t="n">
        <f aca="false">IFERROR(B63/B$49,0)</f>
        <v>0</v>
      </c>
      <c r="E63" s="34" t="n">
        <f aca="false">E47*$E$4</f>
        <v>0</v>
      </c>
      <c r="F63" s="35" t="n">
        <f aca="false">IFERROR(E63/E$49,0)</f>
        <v>0</v>
      </c>
      <c r="G63" s="39" t="s">
        <v>90</v>
      </c>
    </row>
    <row r="64" customFormat="false" ht="15" hidden="false" customHeight="false" outlineLevel="0" collapsed="false">
      <c r="A64" s="22" t="s">
        <v>91</v>
      </c>
      <c r="B64" s="34" t="n">
        <f aca="false">(B62-B63)*$E$5</f>
        <v>4.33352064220183</v>
      </c>
      <c r="C64" s="35" t="n">
        <f aca="false">IFERROR(B64/B$49,0)</f>
        <v>0.269916428571429</v>
      </c>
      <c r="E64" s="34" t="n">
        <f aca="false">(E62-E63)*$E$5</f>
        <v>2.72188073394495</v>
      </c>
      <c r="F64" s="35" t="n">
        <f aca="false">IFERROR(E64/E$49,0)</f>
        <v>0.326027472527473</v>
      </c>
      <c r="G64" s="39" t="s">
        <v>92</v>
      </c>
    </row>
    <row r="65" customFormat="false" ht="15" hidden="false" customHeight="false" outlineLevel="0" collapsed="false">
      <c r="A65" s="22" t="s">
        <v>93</v>
      </c>
      <c r="B65" s="34" t="n">
        <f aca="false">(B62-B63)*$E$6</f>
        <v>0</v>
      </c>
      <c r="C65" s="35" t="n">
        <f aca="false">IFERROR(B65/B$49,0)</f>
        <v>0</v>
      </c>
      <c r="E65" s="34" t="n">
        <f aca="false">(E62-E63)*$E$6</f>
        <v>0</v>
      </c>
      <c r="F65" s="35" t="n">
        <f aca="false">IFERROR(E65/E$49,0)</f>
        <v>0</v>
      </c>
    </row>
    <row r="66" customFormat="false" ht="15" hidden="false" customHeight="false" outlineLevel="0" collapsed="false">
      <c r="A66" s="49" t="s">
        <v>94</v>
      </c>
      <c r="B66" s="50" t="n">
        <f aca="false">B62-B63-B64-B65</f>
        <v>5.2965252293578</v>
      </c>
      <c r="C66" s="51" t="n">
        <f aca="false">IFERROR(B66/B$49,0)</f>
        <v>0.329897857142857</v>
      </c>
      <c r="D66" s="52"/>
      <c r="E66" s="50" t="n">
        <f aca="false">E62-E63-E64-E65</f>
        <v>3.32674311926606</v>
      </c>
      <c r="F66" s="51" t="n">
        <f aca="false">IFERROR(E66/E$49,0)</f>
        <v>0.398478021978022</v>
      </c>
    </row>
  </sheetData>
  <mergeCells count="10">
    <mergeCell ref="A1:F1"/>
    <mergeCell ref="H1:J1"/>
    <mergeCell ref="H17:J17"/>
    <mergeCell ref="A20:F20"/>
    <mergeCell ref="B21:C21"/>
    <mergeCell ref="E21:F21"/>
    <mergeCell ref="H28:K28"/>
    <mergeCell ref="A44:F44"/>
    <mergeCell ref="B45:C45"/>
    <mergeCell ref="E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3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3"/>
    <col collapsed="false" customWidth="true" hidden="false" outlineLevel="0" max="8" min="8" style="0" width="24"/>
    <col collapsed="false" customWidth="true" hidden="false" outlineLevel="0" max="11" min="9" style="0" width="14"/>
  </cols>
  <sheetData>
    <row r="1" customFormat="false" ht="19.7" hidden="false" customHeight="false" outlineLevel="0" collapsed="false">
      <c r="A1" s="14" t="s">
        <v>13</v>
      </c>
      <c r="B1" s="14"/>
      <c r="C1" s="14"/>
      <c r="D1" s="14"/>
      <c r="E1" s="14"/>
      <c r="F1" s="14"/>
      <c r="H1" s="15" t="s">
        <v>15</v>
      </c>
      <c r="I1" s="15"/>
      <c r="J1" s="15"/>
    </row>
    <row r="2" customFormat="false" ht="15" hidden="false" customHeight="false" outlineLevel="0" collapsed="false">
      <c r="H2" s="16" t="s">
        <v>16</v>
      </c>
      <c r="I2" s="17" t="s">
        <v>17</v>
      </c>
      <c r="J2" s="17" t="s">
        <v>18</v>
      </c>
    </row>
    <row r="3" customFormat="false" ht="15" hidden="false" customHeight="false" outlineLevel="0" collapsed="false">
      <c r="A3" s="18" t="s">
        <v>19</v>
      </c>
      <c r="B3" s="19"/>
      <c r="D3" s="18" t="s">
        <v>20</v>
      </c>
      <c r="E3" s="19"/>
      <c r="H3" s="20" t="s">
        <v>21</v>
      </c>
      <c r="I3" s="21" t="n">
        <v>0</v>
      </c>
      <c r="J3" s="21"/>
    </row>
    <row r="4" customFormat="false" ht="15" hidden="false" customHeight="false" outlineLevel="0" collapsed="false">
      <c r="A4" s="22" t="s">
        <v>22</v>
      </c>
      <c r="B4" s="23" t="n">
        <v>0</v>
      </c>
      <c r="D4" s="22" t="s">
        <v>23</v>
      </c>
      <c r="E4" s="24" t="n">
        <v>0</v>
      </c>
      <c r="H4" s="20" t="s">
        <v>24</v>
      </c>
      <c r="I4" s="21" t="n">
        <v>0</v>
      </c>
      <c r="J4" s="21"/>
    </row>
    <row r="5" customFormat="false" ht="15" hidden="false" customHeight="false" outlineLevel="0" collapsed="false">
      <c r="A5" s="22" t="s">
        <v>25</v>
      </c>
      <c r="B5" s="24" t="n">
        <v>0.09</v>
      </c>
      <c r="D5" s="22" t="s">
        <v>26</v>
      </c>
      <c r="E5" s="24" t="n">
        <v>0</v>
      </c>
      <c r="H5" s="20" t="s">
        <v>27</v>
      </c>
      <c r="I5" s="21" t="n">
        <v>0</v>
      </c>
      <c r="J5" s="21"/>
    </row>
    <row r="6" customFormat="false" ht="15" hidden="false" customHeight="false" outlineLevel="0" collapsed="false">
      <c r="A6" s="22" t="s">
        <v>28</v>
      </c>
      <c r="B6" s="24" t="n">
        <v>0.48</v>
      </c>
      <c r="D6" s="22" t="s">
        <v>29</v>
      </c>
      <c r="E6" s="24" t="n">
        <v>0</v>
      </c>
      <c r="H6" s="20" t="s">
        <v>30</v>
      </c>
      <c r="I6" s="21" t="n">
        <v>0</v>
      </c>
      <c r="J6" s="21"/>
    </row>
    <row r="7" customFormat="false" ht="15" hidden="false" customHeight="false" outlineLevel="0" collapsed="false">
      <c r="A7" s="22" t="s">
        <v>31</v>
      </c>
      <c r="B7" s="25" t="n">
        <v>0</v>
      </c>
      <c r="H7" s="20" t="s">
        <v>32</v>
      </c>
      <c r="I7" s="21" t="n">
        <v>0</v>
      </c>
      <c r="J7" s="21"/>
    </row>
    <row r="8" customFormat="false" ht="15" hidden="false" customHeight="false" outlineLevel="0" collapsed="false">
      <c r="H8" s="20" t="s">
        <v>33</v>
      </c>
      <c r="I8" s="21" t="n">
        <v>0</v>
      </c>
      <c r="J8" s="21"/>
    </row>
    <row r="9" customFormat="false" ht="15" hidden="false" customHeight="false" outlineLevel="0" collapsed="false">
      <c r="A9" s="18" t="s">
        <v>34</v>
      </c>
      <c r="B9" s="19"/>
      <c r="H9" s="20" t="s">
        <v>35</v>
      </c>
      <c r="I9" s="21" t="n">
        <v>0</v>
      </c>
      <c r="J9" s="21"/>
    </row>
    <row r="10" customFormat="false" ht="15" hidden="false" customHeight="false" outlineLevel="0" collapsed="false">
      <c r="A10" s="22" t="s">
        <v>36</v>
      </c>
      <c r="B10" s="23" t="n">
        <v>0</v>
      </c>
      <c r="H10" s="20" t="s">
        <v>37</v>
      </c>
      <c r="I10" s="26" t="n">
        <f aca="false">$B$10*$B$7</f>
        <v>0</v>
      </c>
      <c r="J10" s="27"/>
    </row>
    <row r="11" customFormat="false" ht="15" hidden="false" customHeight="false" outlineLevel="0" collapsed="false">
      <c r="A11" s="22" t="s">
        <v>38</v>
      </c>
      <c r="B11" s="23" t="n">
        <v>0</v>
      </c>
      <c r="H11" s="20" t="s">
        <v>39</v>
      </c>
      <c r="I11" s="21" t="n">
        <v>0</v>
      </c>
      <c r="J11" s="21"/>
    </row>
    <row r="12" customFormat="false" ht="15" hidden="false" customHeight="false" outlineLevel="0" collapsed="false">
      <c r="A12" s="22" t="s">
        <v>40</v>
      </c>
      <c r="B12" s="23" t="n">
        <v>4.7</v>
      </c>
    </row>
    <row r="13" customFormat="false" ht="15" hidden="false" customHeight="false" outlineLevel="0" collapsed="false">
      <c r="A13" s="22" t="s">
        <v>41</v>
      </c>
      <c r="B13" s="23" t="n">
        <v>1.1</v>
      </c>
      <c r="H13" s="10" t="s">
        <v>42</v>
      </c>
      <c r="I13" s="28" t="n">
        <f aca="false">SUM(I3:I9,I11)</f>
        <v>0</v>
      </c>
      <c r="J13" s="28" t="n">
        <f aca="false">SUM(J3:J9,J11)</f>
        <v>0</v>
      </c>
    </row>
    <row r="14" customFormat="false" ht="15" hidden="false" customHeight="false" outlineLevel="0" collapsed="false">
      <c r="A14" s="22" t="s">
        <v>43</v>
      </c>
      <c r="B14" s="24" t="n">
        <v>0.01</v>
      </c>
      <c r="H14" s="10" t="s">
        <v>44</v>
      </c>
      <c r="I14" s="29" t="n">
        <f aca="false">SUM(I3:I11)</f>
        <v>0</v>
      </c>
      <c r="J14" s="29" t="n">
        <f aca="false">SUM(J3:J11)</f>
        <v>0</v>
      </c>
    </row>
    <row r="15" customFormat="false" ht="15" hidden="false" customHeight="false" outlineLevel="0" collapsed="false">
      <c r="A15" s="22" t="s">
        <v>45</v>
      </c>
      <c r="B15" s="24" t="n">
        <v>0</v>
      </c>
      <c r="H15" s="10" t="s">
        <v>46</v>
      </c>
      <c r="I15" s="30" t="n">
        <f aca="false">IFERROR(I13/$B$7,0)</f>
        <v>0</v>
      </c>
      <c r="J15" s="30" t="n">
        <f aca="false">IFERROR(J13/$B$7,0)</f>
        <v>0</v>
      </c>
    </row>
    <row r="16" customFormat="false" ht="15" hidden="false" customHeight="false" outlineLevel="0" collapsed="false">
      <c r="A16" s="22" t="s">
        <v>47</v>
      </c>
      <c r="B16" s="24" t="n">
        <v>0</v>
      </c>
    </row>
    <row r="17" customFormat="false" ht="15" hidden="false" customHeight="false" outlineLevel="0" collapsed="false">
      <c r="A17" s="22" t="s">
        <v>48</v>
      </c>
      <c r="B17" s="23" t="n">
        <v>0</v>
      </c>
      <c r="H17" s="15" t="s">
        <v>49</v>
      </c>
      <c r="I17" s="15"/>
      <c r="J17" s="15"/>
    </row>
    <row r="18" customFormat="false" ht="15" hidden="false" customHeight="false" outlineLevel="0" collapsed="false">
      <c r="A18" s="22" t="s">
        <v>50</v>
      </c>
      <c r="B18" s="24" t="n">
        <v>0</v>
      </c>
      <c r="H18" s="16" t="s">
        <v>16</v>
      </c>
      <c r="I18" s="17" t="s">
        <v>17</v>
      </c>
      <c r="J18" s="17" t="s">
        <v>18</v>
      </c>
    </row>
    <row r="19" customFormat="false" ht="15" hidden="false" customHeight="false" outlineLevel="0" collapsed="false">
      <c r="H19" s="20" t="s">
        <v>51</v>
      </c>
      <c r="I19" s="21" t="n">
        <v>0</v>
      </c>
      <c r="J19" s="21"/>
    </row>
    <row r="20" customFormat="false" ht="15" hidden="false" customHeight="false" outlineLevel="0" collapsed="false">
      <c r="A20" s="3" t="s">
        <v>2</v>
      </c>
      <c r="B20" s="3"/>
      <c r="C20" s="3"/>
      <c r="D20" s="3"/>
      <c r="E20" s="3"/>
      <c r="F20" s="3"/>
      <c r="H20" s="20" t="s">
        <v>52</v>
      </c>
      <c r="I20" s="21" t="n">
        <v>0</v>
      </c>
      <c r="J20" s="21"/>
    </row>
    <row r="21" customFormat="false" ht="15" hidden="false" customHeight="false" outlineLevel="0" collapsed="false">
      <c r="B21" s="31" t="s">
        <v>53</v>
      </c>
      <c r="C21" s="31"/>
      <c r="E21" s="32" t="s">
        <v>54</v>
      </c>
      <c r="F21" s="32"/>
      <c r="H21" s="20" t="s">
        <v>55</v>
      </c>
      <c r="I21" s="21" t="n">
        <v>0</v>
      </c>
      <c r="J21" s="21"/>
    </row>
    <row r="22" customFormat="false" ht="15" hidden="false" customHeight="false" outlineLevel="0" collapsed="false">
      <c r="B22" s="33" t="s">
        <v>56</v>
      </c>
      <c r="C22" s="33" t="s">
        <v>57</v>
      </c>
      <c r="E22" s="33" t="s">
        <v>56</v>
      </c>
      <c r="F22" s="33" t="s">
        <v>57</v>
      </c>
      <c r="H22" s="20" t="s">
        <v>58</v>
      </c>
      <c r="I22" s="21" t="n">
        <v>0</v>
      </c>
      <c r="J22" s="21"/>
    </row>
    <row r="23" customFormat="false" ht="15" hidden="false" customHeight="false" outlineLevel="0" collapsed="false">
      <c r="A23" s="22" t="s">
        <v>59</v>
      </c>
      <c r="B23" s="34" t="n">
        <f aca="false">$B$4/(1+$B$5)</f>
        <v>0</v>
      </c>
      <c r="E23" s="34" t="n">
        <f aca="false">$B$4/(1+$B$5)</f>
        <v>0</v>
      </c>
      <c r="H23" s="20" t="s">
        <v>60</v>
      </c>
      <c r="I23" s="21" t="n">
        <v>0</v>
      </c>
      <c r="J23" s="21"/>
    </row>
    <row r="24" customFormat="false" ht="15" hidden="false" customHeight="false" outlineLevel="0" collapsed="false">
      <c r="A24" s="22" t="s">
        <v>61</v>
      </c>
      <c r="B24" s="34" t="n">
        <v>0</v>
      </c>
      <c r="C24" s="35" t="n">
        <v>0</v>
      </c>
      <c r="E24" s="34" t="n">
        <f aca="false">E23*$B$6</f>
        <v>0</v>
      </c>
      <c r="F24" s="35" t="n">
        <f aca="false">$B$6</f>
        <v>0.48</v>
      </c>
    </row>
    <row r="25" customFormat="false" ht="15" hidden="false" customHeight="false" outlineLevel="0" collapsed="false">
      <c r="A25" s="36" t="s">
        <v>62</v>
      </c>
      <c r="B25" s="28" t="n">
        <f aca="false">B23</f>
        <v>0</v>
      </c>
      <c r="C25" s="37"/>
      <c r="E25" s="28" t="n">
        <f aca="false">E23-E24</f>
        <v>0</v>
      </c>
      <c r="F25" s="37"/>
      <c r="H25" s="10" t="s">
        <v>63</v>
      </c>
      <c r="I25" s="28" t="n">
        <f aca="false">SUM(I19:I23)</f>
        <v>0</v>
      </c>
      <c r="J25" s="28" t="n">
        <f aca="false">SUM(J19:J23)</f>
        <v>0</v>
      </c>
    </row>
    <row r="27" customFormat="false" ht="15" hidden="false" customHeight="false" outlineLevel="0" collapsed="false">
      <c r="A27" s="22" t="s">
        <v>64</v>
      </c>
      <c r="B27" s="34" t="n">
        <f aca="false">$B$10</f>
        <v>0</v>
      </c>
      <c r="C27" s="35" t="n">
        <f aca="false">IFERROR(B27/B$25,0)</f>
        <v>0</v>
      </c>
      <c r="E27" s="34" t="n">
        <f aca="false">$B$10</f>
        <v>0</v>
      </c>
      <c r="F27" s="35" t="n">
        <f aca="false">IFERROR(E27/E$25,0)</f>
        <v>0</v>
      </c>
    </row>
    <row r="28" customFormat="false" ht="15" hidden="false" customHeight="false" outlineLevel="0" collapsed="false">
      <c r="A28" s="22" t="s">
        <v>65</v>
      </c>
      <c r="B28" s="38" t="n">
        <f aca="false">IFERROR(I15/$B$7,0)</f>
        <v>0</v>
      </c>
      <c r="C28" s="35" t="n">
        <f aca="false">IFERROR(B28/B$25,0)</f>
        <v>0</v>
      </c>
      <c r="E28" s="38" t="n">
        <f aca="false">IFERROR(I15/$B$7,0)</f>
        <v>0</v>
      </c>
      <c r="F28" s="35" t="n">
        <f aca="false">IFERROR(E28/E$25,0)</f>
        <v>0</v>
      </c>
      <c r="H28" s="15" t="s">
        <v>66</v>
      </c>
      <c r="I28" s="15"/>
      <c r="J28" s="15"/>
      <c r="K28" s="15"/>
    </row>
    <row r="29" customFormat="false" ht="15" hidden="false" customHeight="false" outlineLevel="0" collapsed="false">
      <c r="A29" s="22" t="s">
        <v>67</v>
      </c>
      <c r="B29" s="34" t="n">
        <f aca="false">$B$12</f>
        <v>4.7</v>
      </c>
      <c r="C29" s="35" t="n">
        <f aca="false">IFERROR(B29/B$25,0)</f>
        <v>0</v>
      </c>
      <c r="E29" s="34" t="n">
        <v>0</v>
      </c>
      <c r="F29" s="35" t="n">
        <v>0</v>
      </c>
      <c r="G29" s="39" t="s">
        <v>68</v>
      </c>
      <c r="H29" s="16" t="s">
        <v>69</v>
      </c>
      <c r="I29" s="17" t="s">
        <v>70</v>
      </c>
      <c r="J29" s="17" t="s">
        <v>71</v>
      </c>
      <c r="K29" s="17" t="s">
        <v>72</v>
      </c>
    </row>
    <row r="30" customFormat="false" ht="15" hidden="false" customHeight="false" outlineLevel="0" collapsed="false">
      <c r="A30" s="22" t="s">
        <v>73</v>
      </c>
      <c r="B30" s="34" t="n">
        <v>0</v>
      </c>
      <c r="C30" s="35" t="n">
        <v>0</v>
      </c>
      <c r="E30" s="34" t="n">
        <f aca="false">$B$13</f>
        <v>1.1</v>
      </c>
      <c r="F30" s="35" t="n">
        <f aca="false">IFERROR(E30/E$25,0)</f>
        <v>0</v>
      </c>
      <c r="G30" s="39" t="s">
        <v>74</v>
      </c>
      <c r="H30" s="20" t="s">
        <v>75</v>
      </c>
      <c r="I30" s="40" t="n">
        <f aca="false">$B$7</f>
        <v>0</v>
      </c>
      <c r="J30" s="26" t="n">
        <f aca="false">$B$10</f>
        <v>0</v>
      </c>
      <c r="K30" s="26" t="n">
        <f aca="false">I30*J30</f>
        <v>0</v>
      </c>
    </row>
    <row r="31" customFormat="false" ht="15" hidden="false" customHeight="false" outlineLevel="0" collapsed="false">
      <c r="A31" s="22" t="s">
        <v>76</v>
      </c>
      <c r="B31" s="34" t="n">
        <f aca="false">$B$4*$B$14</f>
        <v>0</v>
      </c>
      <c r="C31" s="35" t="n">
        <f aca="false">IFERROR(B31/B$25,0)</f>
        <v>0</v>
      </c>
      <c r="E31" s="34" t="n">
        <v>0</v>
      </c>
      <c r="F31" s="35" t="n">
        <v>0</v>
      </c>
      <c r="G31" s="39" t="s">
        <v>68</v>
      </c>
      <c r="H31" s="20" t="s">
        <v>77</v>
      </c>
      <c r="I31" s="41" t="n">
        <v>0</v>
      </c>
      <c r="J31" s="42" t="n">
        <v>0</v>
      </c>
      <c r="K31" s="26" t="n">
        <f aca="false">I31*J31</f>
        <v>0</v>
      </c>
    </row>
    <row r="32" customFormat="false" ht="15" hidden="false" customHeight="false" outlineLevel="0" collapsed="false">
      <c r="A32" s="22" t="s">
        <v>78</v>
      </c>
      <c r="B32" s="34" t="n">
        <f aca="false">$B$17</f>
        <v>0</v>
      </c>
      <c r="C32" s="35" t="n">
        <f aca="false">IFERROR(B32/B$25,0)</f>
        <v>0</v>
      </c>
      <c r="E32" s="34" t="n">
        <v>0</v>
      </c>
      <c r="F32" s="35" t="n">
        <v>0</v>
      </c>
      <c r="G32" s="39" t="s">
        <v>68</v>
      </c>
      <c r="H32" s="20" t="s">
        <v>79</v>
      </c>
      <c r="I32" s="41" t="n">
        <v>0</v>
      </c>
      <c r="J32" s="42" t="n">
        <v>0</v>
      </c>
      <c r="K32" s="26" t="n">
        <f aca="false">I32*J32</f>
        <v>0</v>
      </c>
    </row>
    <row r="33" customFormat="false" ht="15" hidden="false" customHeight="false" outlineLevel="0" collapsed="false">
      <c r="A33" s="22" t="s">
        <v>80</v>
      </c>
      <c r="B33" s="34" t="n">
        <f aca="false">B23*$B$15</f>
        <v>0</v>
      </c>
      <c r="C33" s="35" t="n">
        <f aca="false">IFERROR(B33/B$25,0)</f>
        <v>0</v>
      </c>
      <c r="E33" s="34" t="n">
        <f aca="false">E23*$B$15</f>
        <v>0</v>
      </c>
      <c r="F33" s="35" t="n">
        <f aca="false">IFERROR(E33/E$25,0)</f>
        <v>0</v>
      </c>
      <c r="H33" s="20" t="s">
        <v>81</v>
      </c>
      <c r="I33" s="41" t="n">
        <v>0</v>
      </c>
      <c r="J33" s="42" t="n">
        <v>0</v>
      </c>
      <c r="K33" s="26" t="n">
        <f aca="false">I33*J33</f>
        <v>0</v>
      </c>
    </row>
    <row r="34" customFormat="false" ht="15" hidden="false" customHeight="false" outlineLevel="0" collapsed="false">
      <c r="A34" s="22" t="s">
        <v>82</v>
      </c>
      <c r="B34" s="34" t="n">
        <f aca="false">B23*$B$16</f>
        <v>0</v>
      </c>
      <c r="C34" s="35" t="n">
        <f aca="false">IFERROR(B34/B$25,0)</f>
        <v>0</v>
      </c>
      <c r="E34" s="34" t="n">
        <f aca="false">E23*$B$16</f>
        <v>0</v>
      </c>
      <c r="F34" s="35" t="n">
        <f aca="false">IFERROR(E34/E$25,0)</f>
        <v>0</v>
      </c>
      <c r="H34" s="20" t="s">
        <v>83</v>
      </c>
      <c r="I34" s="41" t="n">
        <v>0</v>
      </c>
      <c r="J34" s="42" t="n">
        <v>0</v>
      </c>
      <c r="K34" s="26" t="n">
        <f aca="false">I34*J34</f>
        <v>0</v>
      </c>
    </row>
    <row r="35" customFormat="false" ht="15" hidden="false" customHeight="false" outlineLevel="0" collapsed="false">
      <c r="A35" s="22" t="s">
        <v>84</v>
      </c>
      <c r="B35" s="34" t="n">
        <f aca="false">B25*$B$18</f>
        <v>0</v>
      </c>
      <c r="C35" s="35" t="n">
        <f aca="false">$B$18</f>
        <v>0</v>
      </c>
      <c r="E35" s="34" t="n">
        <f aca="false">E25*$B$18</f>
        <v>0</v>
      </c>
      <c r="F35" s="35" t="n">
        <f aca="false">$B$18</f>
        <v>0</v>
      </c>
    </row>
    <row r="36" customFormat="false" ht="15" hidden="false" customHeight="false" outlineLevel="0" collapsed="false">
      <c r="A36" s="36" t="s">
        <v>85</v>
      </c>
      <c r="B36" s="43" t="n">
        <f aca="false">SUM(B27:B35)</f>
        <v>4.7</v>
      </c>
      <c r="C36" s="44" t="n">
        <f aca="false">IFERROR(B36/B$25,0)</f>
        <v>0</v>
      </c>
      <c r="E36" s="43" t="n">
        <f aca="false">SUM(E27:E35)</f>
        <v>1.1</v>
      </c>
      <c r="F36" s="44" t="n">
        <f aca="false">IFERROR(E36/E$25,0)</f>
        <v>0</v>
      </c>
      <c r="H36" s="10" t="s">
        <v>86</v>
      </c>
      <c r="I36" s="45" t="n">
        <f aca="false">SUM(I30:I34)</f>
        <v>0</v>
      </c>
      <c r="J36" s="46"/>
      <c r="K36" s="28" t="n">
        <f aca="false">SUM(K30:K34)</f>
        <v>0</v>
      </c>
    </row>
    <row r="37" customFormat="false" ht="15" hidden="false" customHeight="false" outlineLevel="0" collapsed="false">
      <c r="H37" s="10" t="s">
        <v>87</v>
      </c>
      <c r="I37" s="46"/>
      <c r="J37" s="29" t="n">
        <f aca="false">IFERROR(K36/I36,0)</f>
        <v>0</v>
      </c>
      <c r="K37" s="46"/>
    </row>
    <row r="38" customFormat="false" ht="15" hidden="false" customHeight="false" outlineLevel="0" collapsed="false">
      <c r="A38" s="36" t="s">
        <v>88</v>
      </c>
      <c r="B38" s="47" t="n">
        <f aca="false">B25-B36</f>
        <v>-4.7</v>
      </c>
      <c r="C38" s="48" t="n">
        <f aca="false">IFERROR(B38/B$25,0)</f>
        <v>0</v>
      </c>
      <c r="E38" s="47" t="n">
        <f aca="false">E25-E36</f>
        <v>-1.1</v>
      </c>
      <c r="F38" s="48" t="n">
        <f aca="false">IFERROR(E38/E$25,0)</f>
        <v>0</v>
      </c>
    </row>
    <row r="39" customFormat="false" ht="15" hidden="false" customHeight="false" outlineLevel="0" collapsed="false">
      <c r="A39" s="22" t="s">
        <v>89</v>
      </c>
      <c r="B39" s="34" t="n">
        <f aca="false">B23*$E$4</f>
        <v>0</v>
      </c>
      <c r="C39" s="35" t="n">
        <f aca="false">IFERROR(B39/B$25,0)</f>
        <v>0</v>
      </c>
      <c r="E39" s="34" t="n">
        <f aca="false">E23*$E$4</f>
        <v>0</v>
      </c>
      <c r="F39" s="35" t="n">
        <f aca="false">IFERROR(E39/E$25,0)</f>
        <v>0</v>
      </c>
      <c r="G39" s="39" t="s">
        <v>90</v>
      </c>
    </row>
    <row r="40" customFormat="false" ht="15" hidden="false" customHeight="false" outlineLevel="0" collapsed="false">
      <c r="A40" s="22" t="s">
        <v>91</v>
      </c>
      <c r="B40" s="34" t="n">
        <f aca="false">(B38-B39)*$E$5</f>
        <v>-0</v>
      </c>
      <c r="C40" s="35" t="n">
        <f aca="false">IFERROR(B40/B$25,0)</f>
        <v>0</v>
      </c>
      <c r="E40" s="34" t="n">
        <f aca="false">(E38-E39)*$E$5</f>
        <v>-0</v>
      </c>
      <c r="F40" s="35" t="n">
        <f aca="false">IFERROR(E40/E$25,0)</f>
        <v>0</v>
      </c>
      <c r="G40" s="39" t="s">
        <v>92</v>
      </c>
    </row>
    <row r="41" customFormat="false" ht="15" hidden="false" customHeight="false" outlineLevel="0" collapsed="false">
      <c r="A41" s="22" t="s">
        <v>93</v>
      </c>
      <c r="B41" s="34" t="n">
        <f aca="false">(B38-B39)*$E$6</f>
        <v>-0</v>
      </c>
      <c r="C41" s="35" t="n">
        <f aca="false">IFERROR(B41/B$25,0)</f>
        <v>0</v>
      </c>
      <c r="E41" s="34" t="n">
        <f aca="false">(E38-E39)*$E$6</f>
        <v>-0</v>
      </c>
      <c r="F41" s="35" t="n">
        <f aca="false">IFERROR(E41/E$25,0)</f>
        <v>0</v>
      </c>
    </row>
    <row r="42" customFormat="false" ht="15" hidden="false" customHeight="false" outlineLevel="0" collapsed="false">
      <c r="A42" s="49" t="s">
        <v>94</v>
      </c>
      <c r="B42" s="50" t="n">
        <f aca="false">B38-B39-B40-B41</f>
        <v>-4.7</v>
      </c>
      <c r="C42" s="51" t="n">
        <f aca="false">IFERROR(B42/B$25,0)</f>
        <v>0</v>
      </c>
      <c r="D42" s="52"/>
      <c r="E42" s="50" t="n">
        <f aca="false">E38-E39-E40-E41</f>
        <v>-1.1</v>
      </c>
      <c r="F42" s="51" t="n">
        <f aca="false">IFERROR(E42/E$25,0)</f>
        <v>0</v>
      </c>
    </row>
    <row r="44" customFormat="false" ht="15" hidden="false" customHeight="false" outlineLevel="0" collapsed="false">
      <c r="A44" s="4" t="s">
        <v>3</v>
      </c>
      <c r="B44" s="4"/>
      <c r="C44" s="4"/>
      <c r="D44" s="4"/>
      <c r="E44" s="4"/>
      <c r="F44" s="4"/>
    </row>
    <row r="45" customFormat="false" ht="15" hidden="false" customHeight="false" outlineLevel="0" collapsed="false">
      <c r="B45" s="31" t="s">
        <v>53</v>
      </c>
      <c r="C45" s="31"/>
      <c r="E45" s="32" t="s">
        <v>54</v>
      </c>
      <c r="F45" s="32"/>
    </row>
    <row r="46" customFormat="false" ht="15" hidden="false" customHeight="false" outlineLevel="0" collapsed="false">
      <c r="B46" s="33" t="s">
        <v>56</v>
      </c>
      <c r="C46" s="33" t="s">
        <v>57</v>
      </c>
      <c r="E46" s="33" t="s">
        <v>56</v>
      </c>
      <c r="F46" s="33" t="s">
        <v>57</v>
      </c>
    </row>
    <row r="47" customFormat="false" ht="15" hidden="false" customHeight="false" outlineLevel="0" collapsed="false">
      <c r="A47" s="22" t="s">
        <v>59</v>
      </c>
      <c r="B47" s="34" t="n">
        <f aca="false">$B$4/(1+$B$5)</f>
        <v>0</v>
      </c>
      <c r="E47" s="34" t="n">
        <f aca="false">$B$4/(1+$B$5)</f>
        <v>0</v>
      </c>
    </row>
    <row r="48" customFormat="false" ht="15" hidden="false" customHeight="false" outlineLevel="0" collapsed="false">
      <c r="A48" s="22" t="s">
        <v>61</v>
      </c>
      <c r="B48" s="34" t="n">
        <v>0</v>
      </c>
      <c r="C48" s="35" t="n">
        <v>0</v>
      </c>
      <c r="E48" s="34" t="n">
        <f aca="false">E47*$B$6</f>
        <v>0</v>
      </c>
      <c r="F48" s="35" t="n">
        <f aca="false">$B$6</f>
        <v>0.48</v>
      </c>
    </row>
    <row r="49" customFormat="false" ht="15" hidden="false" customHeight="false" outlineLevel="0" collapsed="false">
      <c r="A49" s="36" t="s">
        <v>62</v>
      </c>
      <c r="B49" s="28" t="n">
        <f aca="false">B47</f>
        <v>0</v>
      </c>
      <c r="C49" s="37"/>
      <c r="E49" s="28" t="n">
        <f aca="false">E47-E48</f>
        <v>0</v>
      </c>
      <c r="F49" s="37"/>
    </row>
    <row r="51" customFormat="false" ht="15" hidden="false" customHeight="false" outlineLevel="0" collapsed="false">
      <c r="A51" s="22" t="s">
        <v>64</v>
      </c>
      <c r="B51" s="34" t="n">
        <f aca="false">$B$11</f>
        <v>0</v>
      </c>
      <c r="C51" s="35" t="n">
        <f aca="false">IFERROR(B51/B$49,0)</f>
        <v>0</v>
      </c>
      <c r="E51" s="34" t="n">
        <f aca="false">$B$11</f>
        <v>0</v>
      </c>
      <c r="F51" s="35" t="n">
        <f aca="false">IFERROR(E51/E$49,0)</f>
        <v>0</v>
      </c>
    </row>
    <row r="52" customFormat="false" ht="15" hidden="false" customHeight="false" outlineLevel="0" collapsed="false">
      <c r="A52" s="22" t="s">
        <v>65</v>
      </c>
      <c r="B52" s="34" t="n">
        <v>0</v>
      </c>
      <c r="C52" s="35" t="n">
        <f aca="false">IFERROR(B52/B$49,0)</f>
        <v>0</v>
      </c>
      <c r="E52" s="34" t="n">
        <v>0</v>
      </c>
      <c r="F52" s="35" t="n">
        <f aca="false">IFERROR(E52/E$49,0)</f>
        <v>0</v>
      </c>
      <c r="G52" s="39" t="s">
        <v>95</v>
      </c>
    </row>
    <row r="53" customFormat="false" ht="15" hidden="false" customHeight="false" outlineLevel="0" collapsed="false">
      <c r="A53" s="22" t="s">
        <v>67</v>
      </c>
      <c r="B53" s="34" t="n">
        <f aca="false">$B$12</f>
        <v>4.7</v>
      </c>
      <c r="C53" s="35" t="n">
        <f aca="false">IFERROR(B53/B$49,0)</f>
        <v>0</v>
      </c>
      <c r="E53" s="34" t="n">
        <v>0</v>
      </c>
      <c r="F53" s="35" t="n">
        <v>0</v>
      </c>
      <c r="G53" s="39" t="s">
        <v>68</v>
      </c>
    </row>
    <row r="54" customFormat="false" ht="15" hidden="false" customHeight="false" outlineLevel="0" collapsed="false">
      <c r="A54" s="22" t="s">
        <v>73</v>
      </c>
      <c r="B54" s="34" t="n">
        <v>0</v>
      </c>
      <c r="C54" s="35" t="n">
        <v>0</v>
      </c>
      <c r="E54" s="34" t="n">
        <f aca="false">$B$13</f>
        <v>1.1</v>
      </c>
      <c r="F54" s="35" t="n">
        <f aca="false">IFERROR(E54/E$49,0)</f>
        <v>0</v>
      </c>
      <c r="G54" s="39" t="s">
        <v>74</v>
      </c>
    </row>
    <row r="55" customFormat="false" ht="15" hidden="false" customHeight="false" outlineLevel="0" collapsed="false">
      <c r="A55" s="22" t="s">
        <v>76</v>
      </c>
      <c r="B55" s="34" t="n">
        <f aca="false">$B$4*$B$14</f>
        <v>0</v>
      </c>
      <c r="C55" s="35" t="n">
        <f aca="false">IFERROR(B55/B$49,0)</f>
        <v>0</v>
      </c>
      <c r="E55" s="34" t="n">
        <v>0</v>
      </c>
      <c r="F55" s="35" t="n">
        <v>0</v>
      </c>
      <c r="G55" s="39" t="s">
        <v>68</v>
      </c>
    </row>
    <row r="56" customFormat="false" ht="15" hidden="false" customHeight="false" outlineLevel="0" collapsed="false">
      <c r="A56" s="22" t="s">
        <v>78</v>
      </c>
      <c r="B56" s="34" t="n">
        <f aca="false">$B$17</f>
        <v>0</v>
      </c>
      <c r="C56" s="35" t="n">
        <f aca="false">IFERROR(B56/B$49,0)</f>
        <v>0</v>
      </c>
      <c r="E56" s="34" t="n">
        <v>0</v>
      </c>
      <c r="F56" s="35" t="n">
        <v>0</v>
      </c>
      <c r="G56" s="39" t="s">
        <v>68</v>
      </c>
    </row>
    <row r="57" customFormat="false" ht="15" hidden="false" customHeight="false" outlineLevel="0" collapsed="false">
      <c r="A57" s="22" t="s">
        <v>80</v>
      </c>
      <c r="B57" s="34" t="n">
        <f aca="false">B47*$B$15</f>
        <v>0</v>
      </c>
      <c r="C57" s="35" t="n">
        <f aca="false">IFERROR(B57/B$49,0)</f>
        <v>0</v>
      </c>
      <c r="E57" s="34" t="n">
        <f aca="false">E47*$B$15</f>
        <v>0</v>
      </c>
      <c r="F57" s="35" t="n">
        <f aca="false">IFERROR(E57/E$49,0)</f>
        <v>0</v>
      </c>
    </row>
    <row r="58" customFormat="false" ht="15" hidden="false" customHeight="false" outlineLevel="0" collapsed="false">
      <c r="A58" s="22" t="s">
        <v>82</v>
      </c>
      <c r="B58" s="34" t="n">
        <f aca="false">B47*$B$16</f>
        <v>0</v>
      </c>
      <c r="C58" s="35" t="n">
        <f aca="false">IFERROR(B58/B$49,0)</f>
        <v>0</v>
      </c>
      <c r="E58" s="34" t="n">
        <f aca="false">E47*$B$16</f>
        <v>0</v>
      </c>
      <c r="F58" s="35" t="n">
        <f aca="false">IFERROR(E58/E$49,0)</f>
        <v>0</v>
      </c>
    </row>
    <row r="59" customFormat="false" ht="15" hidden="false" customHeight="false" outlineLevel="0" collapsed="false">
      <c r="A59" s="22" t="s">
        <v>84</v>
      </c>
      <c r="B59" s="34" t="n">
        <f aca="false">B49*$B$18</f>
        <v>0</v>
      </c>
      <c r="C59" s="35" t="n">
        <f aca="false">$B$18</f>
        <v>0</v>
      </c>
      <c r="E59" s="34" t="n">
        <f aca="false">E49*$B$18</f>
        <v>0</v>
      </c>
      <c r="F59" s="35" t="n">
        <f aca="false">$B$18</f>
        <v>0</v>
      </c>
    </row>
    <row r="60" customFormat="false" ht="15" hidden="false" customHeight="false" outlineLevel="0" collapsed="false">
      <c r="A60" s="36" t="s">
        <v>85</v>
      </c>
      <c r="B60" s="43" t="n">
        <f aca="false">SUM(B51:B59)</f>
        <v>4.7</v>
      </c>
      <c r="C60" s="44" t="n">
        <f aca="false">IFERROR(B60/B$49,0)</f>
        <v>0</v>
      </c>
      <c r="E60" s="43" t="n">
        <f aca="false">SUM(E51:E59)</f>
        <v>1.1</v>
      </c>
      <c r="F60" s="44" t="n">
        <f aca="false">IFERROR(E60/E$49,0)</f>
        <v>0</v>
      </c>
    </row>
    <row r="62" customFormat="false" ht="15" hidden="false" customHeight="false" outlineLevel="0" collapsed="false">
      <c r="A62" s="36" t="s">
        <v>88</v>
      </c>
      <c r="B62" s="47" t="n">
        <f aca="false">B49-B60</f>
        <v>-4.7</v>
      </c>
      <c r="C62" s="48" t="n">
        <f aca="false">IFERROR(B62/B$49,0)</f>
        <v>0</v>
      </c>
      <c r="E62" s="47" t="n">
        <f aca="false">E49-E60</f>
        <v>-1.1</v>
      </c>
      <c r="F62" s="48" t="n">
        <f aca="false">IFERROR(E62/E$49,0)</f>
        <v>0</v>
      </c>
    </row>
    <row r="63" customFormat="false" ht="15" hidden="false" customHeight="false" outlineLevel="0" collapsed="false">
      <c r="A63" s="22" t="s">
        <v>89</v>
      </c>
      <c r="B63" s="34" t="n">
        <f aca="false">B47*$E$4</f>
        <v>0</v>
      </c>
      <c r="C63" s="35" t="n">
        <f aca="false">IFERROR(B63/B$49,0)</f>
        <v>0</v>
      </c>
      <c r="E63" s="34" t="n">
        <f aca="false">E47*$E$4</f>
        <v>0</v>
      </c>
      <c r="F63" s="35" t="n">
        <f aca="false">IFERROR(E63/E$49,0)</f>
        <v>0</v>
      </c>
      <c r="G63" s="39" t="s">
        <v>90</v>
      </c>
    </row>
    <row r="64" customFormat="false" ht="15" hidden="false" customHeight="false" outlineLevel="0" collapsed="false">
      <c r="A64" s="22" t="s">
        <v>91</v>
      </c>
      <c r="B64" s="34" t="n">
        <f aca="false">(B62-B63)*$E$5</f>
        <v>-0</v>
      </c>
      <c r="C64" s="35" t="n">
        <f aca="false">IFERROR(B64/B$49,0)</f>
        <v>0</v>
      </c>
      <c r="E64" s="34" t="n">
        <f aca="false">(E62-E63)*$E$5</f>
        <v>-0</v>
      </c>
      <c r="F64" s="35" t="n">
        <f aca="false">IFERROR(E64/E$49,0)</f>
        <v>0</v>
      </c>
      <c r="G64" s="39" t="s">
        <v>92</v>
      </c>
    </row>
    <row r="65" customFormat="false" ht="15" hidden="false" customHeight="false" outlineLevel="0" collapsed="false">
      <c r="A65" s="22" t="s">
        <v>93</v>
      </c>
      <c r="B65" s="34" t="n">
        <f aca="false">(B62-B63)*$E$6</f>
        <v>-0</v>
      </c>
      <c r="C65" s="35" t="n">
        <f aca="false">IFERROR(B65/B$49,0)</f>
        <v>0</v>
      </c>
      <c r="E65" s="34" t="n">
        <f aca="false">(E62-E63)*$E$6</f>
        <v>-0</v>
      </c>
      <c r="F65" s="35" t="n">
        <f aca="false">IFERROR(E65/E$49,0)</f>
        <v>0</v>
      </c>
    </row>
    <row r="66" customFormat="false" ht="15" hidden="false" customHeight="false" outlineLevel="0" collapsed="false">
      <c r="A66" s="49" t="s">
        <v>94</v>
      </c>
      <c r="B66" s="50" t="n">
        <f aca="false">B62-B63-B64-B65</f>
        <v>-4.7</v>
      </c>
      <c r="C66" s="51" t="n">
        <f aca="false">IFERROR(B66/B$49,0)</f>
        <v>0</v>
      </c>
      <c r="D66" s="52"/>
      <c r="E66" s="50" t="n">
        <f aca="false">E62-E63-E64-E65</f>
        <v>-1.1</v>
      </c>
      <c r="F66" s="51" t="n">
        <f aca="false">IFERROR(E66/E$49,0)</f>
        <v>0</v>
      </c>
    </row>
  </sheetData>
  <mergeCells count="10">
    <mergeCell ref="A1:F1"/>
    <mergeCell ref="H1:J1"/>
    <mergeCell ref="H17:J17"/>
    <mergeCell ref="A20:F20"/>
    <mergeCell ref="B21:C21"/>
    <mergeCell ref="E21:F21"/>
    <mergeCell ref="H28:K28"/>
    <mergeCell ref="A44:F44"/>
    <mergeCell ref="B45:C45"/>
    <mergeCell ref="E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3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3"/>
    <col collapsed="false" customWidth="true" hidden="false" outlineLevel="0" max="8" min="8" style="0" width="24"/>
    <col collapsed="false" customWidth="true" hidden="false" outlineLevel="0" max="11" min="9" style="0" width="14"/>
  </cols>
  <sheetData>
    <row r="1" customFormat="false" ht="19.7" hidden="false" customHeight="false" outlineLevel="0" collapsed="false">
      <c r="A1" s="14" t="s">
        <v>14</v>
      </c>
      <c r="B1" s="14"/>
      <c r="C1" s="14"/>
      <c r="D1" s="14"/>
      <c r="E1" s="14"/>
      <c r="F1" s="14"/>
      <c r="H1" s="15" t="s">
        <v>15</v>
      </c>
      <c r="I1" s="15"/>
      <c r="J1" s="15"/>
    </row>
    <row r="2" customFormat="false" ht="15" hidden="false" customHeight="false" outlineLevel="0" collapsed="false">
      <c r="H2" s="16" t="s">
        <v>16</v>
      </c>
      <c r="I2" s="17" t="s">
        <v>17</v>
      </c>
      <c r="J2" s="17" t="s">
        <v>18</v>
      </c>
    </row>
    <row r="3" customFormat="false" ht="15" hidden="false" customHeight="false" outlineLevel="0" collapsed="false">
      <c r="A3" s="18" t="s">
        <v>19</v>
      </c>
      <c r="B3" s="19"/>
      <c r="D3" s="18" t="s">
        <v>20</v>
      </c>
      <c r="E3" s="19"/>
      <c r="H3" s="20" t="s">
        <v>21</v>
      </c>
      <c r="I3" s="21" t="n">
        <v>0</v>
      </c>
      <c r="J3" s="21"/>
    </row>
    <row r="4" customFormat="false" ht="15" hidden="false" customHeight="false" outlineLevel="0" collapsed="false">
      <c r="A4" s="22" t="s">
        <v>22</v>
      </c>
      <c r="B4" s="23" t="n">
        <v>0</v>
      </c>
      <c r="D4" s="22" t="s">
        <v>23</v>
      </c>
      <c r="E4" s="24" t="n">
        <v>0</v>
      </c>
      <c r="H4" s="20" t="s">
        <v>24</v>
      </c>
      <c r="I4" s="21" t="n">
        <v>0</v>
      </c>
      <c r="J4" s="21"/>
    </row>
    <row r="5" customFormat="false" ht="15" hidden="false" customHeight="false" outlineLevel="0" collapsed="false">
      <c r="A5" s="22" t="s">
        <v>25</v>
      </c>
      <c r="B5" s="24" t="n">
        <v>0.09</v>
      </c>
      <c r="D5" s="22" t="s">
        <v>26</v>
      </c>
      <c r="E5" s="24" t="n">
        <v>0</v>
      </c>
      <c r="H5" s="20" t="s">
        <v>27</v>
      </c>
      <c r="I5" s="21" t="n">
        <v>0</v>
      </c>
      <c r="J5" s="21"/>
    </row>
    <row r="6" customFormat="false" ht="15" hidden="false" customHeight="false" outlineLevel="0" collapsed="false">
      <c r="A6" s="22" t="s">
        <v>28</v>
      </c>
      <c r="B6" s="24" t="n">
        <v>0.48</v>
      </c>
      <c r="D6" s="22" t="s">
        <v>29</v>
      </c>
      <c r="E6" s="24" t="n">
        <v>0</v>
      </c>
      <c r="H6" s="20" t="s">
        <v>30</v>
      </c>
      <c r="I6" s="21" t="n">
        <v>0</v>
      </c>
      <c r="J6" s="21"/>
    </row>
    <row r="7" customFormat="false" ht="15" hidden="false" customHeight="false" outlineLevel="0" collapsed="false">
      <c r="A7" s="22" t="s">
        <v>31</v>
      </c>
      <c r="B7" s="25" t="n">
        <v>0</v>
      </c>
      <c r="H7" s="20" t="s">
        <v>32</v>
      </c>
      <c r="I7" s="21" t="n">
        <v>0</v>
      </c>
      <c r="J7" s="21"/>
    </row>
    <row r="8" customFormat="false" ht="15" hidden="false" customHeight="false" outlineLevel="0" collapsed="false">
      <c r="H8" s="20" t="s">
        <v>33</v>
      </c>
      <c r="I8" s="21" t="n">
        <v>0</v>
      </c>
      <c r="J8" s="21"/>
    </row>
    <row r="9" customFormat="false" ht="15" hidden="false" customHeight="false" outlineLevel="0" collapsed="false">
      <c r="A9" s="18" t="s">
        <v>34</v>
      </c>
      <c r="B9" s="19"/>
      <c r="H9" s="20" t="s">
        <v>35</v>
      </c>
      <c r="I9" s="21" t="n">
        <v>0</v>
      </c>
      <c r="J9" s="21"/>
    </row>
    <row r="10" customFormat="false" ht="15" hidden="false" customHeight="false" outlineLevel="0" collapsed="false">
      <c r="A10" s="22" t="s">
        <v>36</v>
      </c>
      <c r="B10" s="23" t="n">
        <v>0</v>
      </c>
      <c r="H10" s="20" t="s">
        <v>37</v>
      </c>
      <c r="I10" s="26" t="n">
        <f aca="false">$B$10*$B$7</f>
        <v>0</v>
      </c>
      <c r="J10" s="27"/>
    </row>
    <row r="11" customFormat="false" ht="15" hidden="false" customHeight="false" outlineLevel="0" collapsed="false">
      <c r="A11" s="22" t="s">
        <v>38</v>
      </c>
      <c r="B11" s="23" t="n">
        <v>0</v>
      </c>
      <c r="H11" s="20" t="s">
        <v>39</v>
      </c>
      <c r="I11" s="21" t="n">
        <v>0</v>
      </c>
      <c r="J11" s="21"/>
    </row>
    <row r="12" customFormat="false" ht="15" hidden="false" customHeight="false" outlineLevel="0" collapsed="false">
      <c r="A12" s="22" t="s">
        <v>40</v>
      </c>
      <c r="B12" s="23" t="n">
        <v>4.7</v>
      </c>
    </row>
    <row r="13" customFormat="false" ht="15" hidden="false" customHeight="false" outlineLevel="0" collapsed="false">
      <c r="A13" s="22" t="s">
        <v>41</v>
      </c>
      <c r="B13" s="23" t="n">
        <v>1.1</v>
      </c>
      <c r="H13" s="10" t="s">
        <v>42</v>
      </c>
      <c r="I13" s="28" t="n">
        <f aca="false">SUM(I3:I9,I11)</f>
        <v>0</v>
      </c>
      <c r="J13" s="28" t="n">
        <f aca="false">SUM(J3:J9,J11)</f>
        <v>0</v>
      </c>
    </row>
    <row r="14" customFormat="false" ht="15" hidden="false" customHeight="false" outlineLevel="0" collapsed="false">
      <c r="A14" s="22" t="s">
        <v>43</v>
      </c>
      <c r="B14" s="24" t="n">
        <v>0.01</v>
      </c>
      <c r="H14" s="10" t="s">
        <v>44</v>
      </c>
      <c r="I14" s="29" t="n">
        <f aca="false">SUM(I3:I11)</f>
        <v>0</v>
      </c>
      <c r="J14" s="29" t="n">
        <f aca="false">SUM(J3:J11)</f>
        <v>0</v>
      </c>
    </row>
    <row r="15" customFormat="false" ht="15" hidden="false" customHeight="false" outlineLevel="0" collapsed="false">
      <c r="A15" s="22" t="s">
        <v>45</v>
      </c>
      <c r="B15" s="24" t="n">
        <v>0</v>
      </c>
      <c r="H15" s="10" t="s">
        <v>46</v>
      </c>
      <c r="I15" s="30" t="n">
        <f aca="false">IFERROR(I13/$B$7,0)</f>
        <v>0</v>
      </c>
      <c r="J15" s="30" t="n">
        <f aca="false">IFERROR(J13/$B$7,0)</f>
        <v>0</v>
      </c>
    </row>
    <row r="16" customFormat="false" ht="15" hidden="false" customHeight="false" outlineLevel="0" collapsed="false">
      <c r="A16" s="22" t="s">
        <v>47</v>
      </c>
      <c r="B16" s="24" t="n">
        <v>0</v>
      </c>
    </row>
    <row r="17" customFormat="false" ht="15" hidden="false" customHeight="false" outlineLevel="0" collapsed="false">
      <c r="A17" s="22" t="s">
        <v>48</v>
      </c>
      <c r="B17" s="23" t="n">
        <v>0</v>
      </c>
      <c r="H17" s="15" t="s">
        <v>49</v>
      </c>
      <c r="I17" s="15"/>
      <c r="J17" s="15"/>
    </row>
    <row r="18" customFormat="false" ht="15" hidden="false" customHeight="false" outlineLevel="0" collapsed="false">
      <c r="A18" s="22" t="s">
        <v>50</v>
      </c>
      <c r="B18" s="24" t="n">
        <v>0</v>
      </c>
      <c r="H18" s="16" t="s">
        <v>16</v>
      </c>
      <c r="I18" s="17" t="s">
        <v>17</v>
      </c>
      <c r="J18" s="17" t="s">
        <v>18</v>
      </c>
    </row>
    <row r="19" customFormat="false" ht="15" hidden="false" customHeight="false" outlineLevel="0" collapsed="false">
      <c r="H19" s="20" t="s">
        <v>51</v>
      </c>
      <c r="I19" s="21" t="n">
        <v>0</v>
      </c>
      <c r="J19" s="21"/>
    </row>
    <row r="20" customFormat="false" ht="15" hidden="false" customHeight="false" outlineLevel="0" collapsed="false">
      <c r="A20" s="3" t="s">
        <v>2</v>
      </c>
      <c r="B20" s="3"/>
      <c r="C20" s="3"/>
      <c r="D20" s="3"/>
      <c r="E20" s="3"/>
      <c r="F20" s="3"/>
      <c r="H20" s="20" t="s">
        <v>52</v>
      </c>
      <c r="I20" s="21" t="n">
        <v>0</v>
      </c>
      <c r="J20" s="21"/>
    </row>
    <row r="21" customFormat="false" ht="15" hidden="false" customHeight="false" outlineLevel="0" collapsed="false">
      <c r="B21" s="31" t="s">
        <v>53</v>
      </c>
      <c r="C21" s="31"/>
      <c r="E21" s="32" t="s">
        <v>54</v>
      </c>
      <c r="F21" s="32"/>
      <c r="H21" s="20" t="s">
        <v>55</v>
      </c>
      <c r="I21" s="21" t="n">
        <v>0</v>
      </c>
      <c r="J21" s="21"/>
    </row>
    <row r="22" customFormat="false" ht="15" hidden="false" customHeight="false" outlineLevel="0" collapsed="false">
      <c r="B22" s="33" t="s">
        <v>56</v>
      </c>
      <c r="C22" s="33" t="s">
        <v>57</v>
      </c>
      <c r="E22" s="33" t="s">
        <v>56</v>
      </c>
      <c r="F22" s="33" t="s">
        <v>57</v>
      </c>
      <c r="H22" s="20" t="s">
        <v>58</v>
      </c>
      <c r="I22" s="21" t="n">
        <v>0</v>
      </c>
      <c r="J22" s="21"/>
    </row>
    <row r="23" customFormat="false" ht="15" hidden="false" customHeight="false" outlineLevel="0" collapsed="false">
      <c r="A23" s="22" t="s">
        <v>59</v>
      </c>
      <c r="B23" s="34" t="n">
        <f aca="false">$B$4/(1+$B$5)</f>
        <v>0</v>
      </c>
      <c r="E23" s="34" t="n">
        <f aca="false">$B$4/(1+$B$5)</f>
        <v>0</v>
      </c>
      <c r="H23" s="20" t="s">
        <v>60</v>
      </c>
      <c r="I23" s="21" t="n">
        <v>0</v>
      </c>
      <c r="J23" s="21"/>
    </row>
    <row r="24" customFormat="false" ht="15" hidden="false" customHeight="false" outlineLevel="0" collapsed="false">
      <c r="A24" s="22" t="s">
        <v>61</v>
      </c>
      <c r="B24" s="34" t="n">
        <v>0</v>
      </c>
      <c r="C24" s="35" t="n">
        <v>0</v>
      </c>
      <c r="E24" s="34" t="n">
        <f aca="false">E23*$B$6</f>
        <v>0</v>
      </c>
      <c r="F24" s="35" t="n">
        <f aca="false">$B$6</f>
        <v>0.48</v>
      </c>
    </row>
    <row r="25" customFormat="false" ht="15" hidden="false" customHeight="false" outlineLevel="0" collapsed="false">
      <c r="A25" s="36" t="s">
        <v>62</v>
      </c>
      <c r="B25" s="28" t="n">
        <f aca="false">B23</f>
        <v>0</v>
      </c>
      <c r="C25" s="37"/>
      <c r="E25" s="28" t="n">
        <f aca="false">E23-E24</f>
        <v>0</v>
      </c>
      <c r="F25" s="37"/>
      <c r="H25" s="10" t="s">
        <v>63</v>
      </c>
      <c r="I25" s="28" t="n">
        <f aca="false">SUM(I19:I23)</f>
        <v>0</v>
      </c>
      <c r="J25" s="28" t="n">
        <f aca="false">SUM(J19:J23)</f>
        <v>0</v>
      </c>
    </row>
    <row r="27" customFormat="false" ht="15" hidden="false" customHeight="false" outlineLevel="0" collapsed="false">
      <c r="A27" s="22" t="s">
        <v>64</v>
      </c>
      <c r="B27" s="34" t="n">
        <f aca="false">$B$10</f>
        <v>0</v>
      </c>
      <c r="C27" s="35" t="n">
        <f aca="false">IFERROR(B27/B$25,0)</f>
        <v>0</v>
      </c>
      <c r="E27" s="34" t="n">
        <f aca="false">$B$10</f>
        <v>0</v>
      </c>
      <c r="F27" s="35" t="n">
        <f aca="false">IFERROR(E27/E$25,0)</f>
        <v>0</v>
      </c>
    </row>
    <row r="28" customFormat="false" ht="15" hidden="false" customHeight="false" outlineLevel="0" collapsed="false">
      <c r="A28" s="22" t="s">
        <v>65</v>
      </c>
      <c r="B28" s="38" t="n">
        <f aca="false">IFERROR(I15/$B$7,0)</f>
        <v>0</v>
      </c>
      <c r="C28" s="35" t="n">
        <f aca="false">IFERROR(B28/B$25,0)</f>
        <v>0</v>
      </c>
      <c r="E28" s="38" t="n">
        <f aca="false">IFERROR(I15/$B$7,0)</f>
        <v>0</v>
      </c>
      <c r="F28" s="35" t="n">
        <f aca="false">IFERROR(E28/E$25,0)</f>
        <v>0</v>
      </c>
      <c r="H28" s="15" t="s">
        <v>66</v>
      </c>
      <c r="I28" s="15"/>
      <c r="J28" s="15"/>
      <c r="K28" s="15"/>
    </row>
    <row r="29" customFormat="false" ht="15" hidden="false" customHeight="false" outlineLevel="0" collapsed="false">
      <c r="A29" s="22" t="s">
        <v>67</v>
      </c>
      <c r="B29" s="34" t="n">
        <f aca="false">$B$12</f>
        <v>4.7</v>
      </c>
      <c r="C29" s="35" t="n">
        <f aca="false">IFERROR(B29/B$25,0)</f>
        <v>0</v>
      </c>
      <c r="E29" s="34" t="n">
        <v>0</v>
      </c>
      <c r="F29" s="35" t="n">
        <v>0</v>
      </c>
      <c r="G29" s="39" t="s">
        <v>68</v>
      </c>
      <c r="H29" s="16" t="s">
        <v>69</v>
      </c>
      <c r="I29" s="17" t="s">
        <v>70</v>
      </c>
      <c r="J29" s="17" t="s">
        <v>71</v>
      </c>
      <c r="K29" s="17" t="s">
        <v>72</v>
      </c>
    </row>
    <row r="30" customFormat="false" ht="15" hidden="false" customHeight="false" outlineLevel="0" collapsed="false">
      <c r="A30" s="22" t="s">
        <v>73</v>
      </c>
      <c r="B30" s="34" t="n">
        <v>0</v>
      </c>
      <c r="C30" s="35" t="n">
        <v>0</v>
      </c>
      <c r="E30" s="34" t="n">
        <f aca="false">$B$13</f>
        <v>1.1</v>
      </c>
      <c r="F30" s="35" t="n">
        <f aca="false">IFERROR(E30/E$25,0)</f>
        <v>0</v>
      </c>
      <c r="G30" s="39" t="s">
        <v>74</v>
      </c>
      <c r="H30" s="20" t="s">
        <v>75</v>
      </c>
      <c r="I30" s="40" t="n">
        <f aca="false">$B$7</f>
        <v>0</v>
      </c>
      <c r="J30" s="26" t="n">
        <f aca="false">$B$10</f>
        <v>0</v>
      </c>
      <c r="K30" s="26" t="n">
        <f aca="false">I30*J30</f>
        <v>0</v>
      </c>
    </row>
    <row r="31" customFormat="false" ht="15" hidden="false" customHeight="false" outlineLevel="0" collapsed="false">
      <c r="A31" s="22" t="s">
        <v>76</v>
      </c>
      <c r="B31" s="34" t="n">
        <f aca="false">$B$4*$B$14</f>
        <v>0</v>
      </c>
      <c r="C31" s="35" t="n">
        <f aca="false">IFERROR(B31/B$25,0)</f>
        <v>0</v>
      </c>
      <c r="E31" s="34" t="n">
        <v>0</v>
      </c>
      <c r="F31" s="35" t="n">
        <v>0</v>
      </c>
      <c r="G31" s="39" t="s">
        <v>68</v>
      </c>
      <c r="H31" s="20" t="s">
        <v>77</v>
      </c>
      <c r="I31" s="41" t="n">
        <v>0</v>
      </c>
      <c r="J31" s="42" t="n">
        <v>0</v>
      </c>
      <c r="K31" s="26" t="n">
        <f aca="false">I31*J31</f>
        <v>0</v>
      </c>
    </row>
    <row r="32" customFormat="false" ht="15" hidden="false" customHeight="false" outlineLevel="0" collapsed="false">
      <c r="A32" s="22" t="s">
        <v>78</v>
      </c>
      <c r="B32" s="34" t="n">
        <f aca="false">$B$17</f>
        <v>0</v>
      </c>
      <c r="C32" s="35" t="n">
        <f aca="false">IFERROR(B32/B$25,0)</f>
        <v>0</v>
      </c>
      <c r="E32" s="34" t="n">
        <v>0</v>
      </c>
      <c r="F32" s="35" t="n">
        <v>0</v>
      </c>
      <c r="G32" s="39" t="s">
        <v>68</v>
      </c>
      <c r="H32" s="20" t="s">
        <v>79</v>
      </c>
      <c r="I32" s="41" t="n">
        <v>0</v>
      </c>
      <c r="J32" s="42" t="n">
        <v>0</v>
      </c>
      <c r="K32" s="26" t="n">
        <f aca="false">I32*J32</f>
        <v>0</v>
      </c>
    </row>
    <row r="33" customFormat="false" ht="15" hidden="false" customHeight="false" outlineLevel="0" collapsed="false">
      <c r="A33" s="22" t="s">
        <v>80</v>
      </c>
      <c r="B33" s="34" t="n">
        <f aca="false">B23*$B$15</f>
        <v>0</v>
      </c>
      <c r="C33" s="35" t="n">
        <f aca="false">IFERROR(B33/B$25,0)</f>
        <v>0</v>
      </c>
      <c r="E33" s="34" t="n">
        <f aca="false">E23*$B$15</f>
        <v>0</v>
      </c>
      <c r="F33" s="35" t="n">
        <f aca="false">IFERROR(E33/E$25,0)</f>
        <v>0</v>
      </c>
      <c r="H33" s="20" t="s">
        <v>81</v>
      </c>
      <c r="I33" s="41" t="n">
        <v>0</v>
      </c>
      <c r="J33" s="42" t="n">
        <v>0</v>
      </c>
      <c r="K33" s="26" t="n">
        <f aca="false">I33*J33</f>
        <v>0</v>
      </c>
    </row>
    <row r="34" customFormat="false" ht="15" hidden="false" customHeight="false" outlineLevel="0" collapsed="false">
      <c r="A34" s="22" t="s">
        <v>82</v>
      </c>
      <c r="B34" s="34" t="n">
        <f aca="false">B23*$B$16</f>
        <v>0</v>
      </c>
      <c r="C34" s="35" t="n">
        <f aca="false">IFERROR(B34/B$25,0)</f>
        <v>0</v>
      </c>
      <c r="E34" s="34" t="n">
        <f aca="false">E23*$B$16</f>
        <v>0</v>
      </c>
      <c r="F34" s="35" t="n">
        <f aca="false">IFERROR(E34/E$25,0)</f>
        <v>0</v>
      </c>
      <c r="H34" s="20" t="s">
        <v>83</v>
      </c>
      <c r="I34" s="41" t="n">
        <v>0</v>
      </c>
      <c r="J34" s="42" t="n">
        <v>0</v>
      </c>
      <c r="K34" s="26" t="n">
        <f aca="false">I34*J34</f>
        <v>0</v>
      </c>
    </row>
    <row r="35" customFormat="false" ht="15" hidden="false" customHeight="false" outlineLevel="0" collapsed="false">
      <c r="A35" s="22" t="s">
        <v>84</v>
      </c>
      <c r="B35" s="34" t="n">
        <f aca="false">B25*$B$18</f>
        <v>0</v>
      </c>
      <c r="C35" s="35" t="n">
        <f aca="false">$B$18</f>
        <v>0</v>
      </c>
      <c r="E35" s="34" t="n">
        <f aca="false">E25*$B$18</f>
        <v>0</v>
      </c>
      <c r="F35" s="35" t="n">
        <f aca="false">$B$18</f>
        <v>0</v>
      </c>
    </row>
    <row r="36" customFormat="false" ht="15" hidden="false" customHeight="false" outlineLevel="0" collapsed="false">
      <c r="A36" s="36" t="s">
        <v>85</v>
      </c>
      <c r="B36" s="43" t="n">
        <f aca="false">SUM(B27:B35)</f>
        <v>4.7</v>
      </c>
      <c r="C36" s="44" t="n">
        <f aca="false">IFERROR(B36/B$25,0)</f>
        <v>0</v>
      </c>
      <c r="E36" s="43" t="n">
        <f aca="false">SUM(E27:E35)</f>
        <v>1.1</v>
      </c>
      <c r="F36" s="44" t="n">
        <f aca="false">IFERROR(E36/E$25,0)</f>
        <v>0</v>
      </c>
      <c r="H36" s="10" t="s">
        <v>86</v>
      </c>
      <c r="I36" s="45" t="n">
        <f aca="false">SUM(I30:I34)</f>
        <v>0</v>
      </c>
      <c r="J36" s="46"/>
      <c r="K36" s="28" t="n">
        <f aca="false">SUM(K30:K34)</f>
        <v>0</v>
      </c>
    </row>
    <row r="37" customFormat="false" ht="15" hidden="false" customHeight="false" outlineLevel="0" collapsed="false">
      <c r="H37" s="10" t="s">
        <v>87</v>
      </c>
      <c r="I37" s="46"/>
      <c r="J37" s="29" t="n">
        <f aca="false">IFERROR(K36/I36,0)</f>
        <v>0</v>
      </c>
      <c r="K37" s="46"/>
    </row>
    <row r="38" customFormat="false" ht="15" hidden="false" customHeight="false" outlineLevel="0" collapsed="false">
      <c r="A38" s="36" t="s">
        <v>88</v>
      </c>
      <c r="B38" s="47" t="n">
        <f aca="false">B25-B36</f>
        <v>-4.7</v>
      </c>
      <c r="C38" s="48" t="n">
        <f aca="false">IFERROR(B38/B$25,0)</f>
        <v>0</v>
      </c>
      <c r="E38" s="47" t="n">
        <f aca="false">E25-E36</f>
        <v>-1.1</v>
      </c>
      <c r="F38" s="48" t="n">
        <f aca="false">IFERROR(E38/E$25,0)</f>
        <v>0</v>
      </c>
    </row>
    <row r="39" customFormat="false" ht="15" hidden="false" customHeight="false" outlineLevel="0" collapsed="false">
      <c r="A39" s="22" t="s">
        <v>89</v>
      </c>
      <c r="B39" s="34" t="n">
        <f aca="false">B23*$E$4</f>
        <v>0</v>
      </c>
      <c r="C39" s="35" t="n">
        <f aca="false">IFERROR(B39/B$25,0)</f>
        <v>0</v>
      </c>
      <c r="E39" s="34" t="n">
        <f aca="false">E23*$E$4</f>
        <v>0</v>
      </c>
      <c r="F39" s="35" t="n">
        <f aca="false">IFERROR(E39/E$25,0)</f>
        <v>0</v>
      </c>
      <c r="G39" s="39" t="s">
        <v>90</v>
      </c>
    </row>
    <row r="40" customFormat="false" ht="15" hidden="false" customHeight="false" outlineLevel="0" collapsed="false">
      <c r="A40" s="22" t="s">
        <v>91</v>
      </c>
      <c r="B40" s="34" t="n">
        <f aca="false">(B38-B39)*$E$5</f>
        <v>-0</v>
      </c>
      <c r="C40" s="35" t="n">
        <f aca="false">IFERROR(B40/B$25,0)</f>
        <v>0</v>
      </c>
      <c r="E40" s="34" t="n">
        <f aca="false">(E38-E39)*$E$5</f>
        <v>-0</v>
      </c>
      <c r="F40" s="35" t="n">
        <f aca="false">IFERROR(E40/E$25,0)</f>
        <v>0</v>
      </c>
      <c r="G40" s="39" t="s">
        <v>92</v>
      </c>
    </row>
    <row r="41" customFormat="false" ht="15" hidden="false" customHeight="false" outlineLevel="0" collapsed="false">
      <c r="A41" s="22" t="s">
        <v>93</v>
      </c>
      <c r="B41" s="34" t="n">
        <f aca="false">(B38-B39)*$E$6</f>
        <v>-0</v>
      </c>
      <c r="C41" s="35" t="n">
        <f aca="false">IFERROR(B41/B$25,0)</f>
        <v>0</v>
      </c>
      <c r="E41" s="34" t="n">
        <f aca="false">(E38-E39)*$E$6</f>
        <v>-0</v>
      </c>
      <c r="F41" s="35" t="n">
        <f aca="false">IFERROR(E41/E$25,0)</f>
        <v>0</v>
      </c>
    </row>
    <row r="42" customFormat="false" ht="15" hidden="false" customHeight="false" outlineLevel="0" collapsed="false">
      <c r="A42" s="49" t="s">
        <v>94</v>
      </c>
      <c r="B42" s="50" t="n">
        <f aca="false">B38-B39-B40-B41</f>
        <v>-4.7</v>
      </c>
      <c r="C42" s="51" t="n">
        <f aca="false">IFERROR(B42/B$25,0)</f>
        <v>0</v>
      </c>
      <c r="D42" s="52"/>
      <c r="E42" s="50" t="n">
        <f aca="false">E38-E39-E40-E41</f>
        <v>-1.1</v>
      </c>
      <c r="F42" s="51" t="n">
        <f aca="false">IFERROR(E42/E$25,0)</f>
        <v>0</v>
      </c>
    </row>
    <row r="44" customFormat="false" ht="15" hidden="false" customHeight="false" outlineLevel="0" collapsed="false">
      <c r="A44" s="4" t="s">
        <v>3</v>
      </c>
      <c r="B44" s="4"/>
      <c r="C44" s="4"/>
      <c r="D44" s="4"/>
      <c r="E44" s="4"/>
      <c r="F44" s="4"/>
    </row>
    <row r="45" customFormat="false" ht="15" hidden="false" customHeight="false" outlineLevel="0" collapsed="false">
      <c r="B45" s="31" t="s">
        <v>53</v>
      </c>
      <c r="C45" s="31"/>
      <c r="E45" s="32" t="s">
        <v>54</v>
      </c>
      <c r="F45" s="32"/>
    </row>
    <row r="46" customFormat="false" ht="15" hidden="false" customHeight="false" outlineLevel="0" collapsed="false">
      <c r="B46" s="33" t="s">
        <v>56</v>
      </c>
      <c r="C46" s="33" t="s">
        <v>57</v>
      </c>
      <c r="E46" s="33" t="s">
        <v>56</v>
      </c>
      <c r="F46" s="33" t="s">
        <v>57</v>
      </c>
    </row>
    <row r="47" customFormat="false" ht="15" hidden="false" customHeight="false" outlineLevel="0" collapsed="false">
      <c r="A47" s="22" t="s">
        <v>59</v>
      </c>
      <c r="B47" s="34" t="n">
        <f aca="false">$B$4/(1+$B$5)</f>
        <v>0</v>
      </c>
      <c r="E47" s="34" t="n">
        <f aca="false">$B$4/(1+$B$5)</f>
        <v>0</v>
      </c>
    </row>
    <row r="48" customFormat="false" ht="15" hidden="false" customHeight="false" outlineLevel="0" collapsed="false">
      <c r="A48" s="22" t="s">
        <v>61</v>
      </c>
      <c r="B48" s="34" t="n">
        <v>0</v>
      </c>
      <c r="C48" s="35" t="n">
        <v>0</v>
      </c>
      <c r="E48" s="34" t="n">
        <f aca="false">E47*$B$6</f>
        <v>0</v>
      </c>
      <c r="F48" s="35" t="n">
        <f aca="false">$B$6</f>
        <v>0.48</v>
      </c>
    </row>
    <row r="49" customFormat="false" ht="15" hidden="false" customHeight="false" outlineLevel="0" collapsed="false">
      <c r="A49" s="36" t="s">
        <v>62</v>
      </c>
      <c r="B49" s="28" t="n">
        <f aca="false">B47</f>
        <v>0</v>
      </c>
      <c r="C49" s="37"/>
      <c r="E49" s="28" t="n">
        <f aca="false">E47-E48</f>
        <v>0</v>
      </c>
      <c r="F49" s="37"/>
    </row>
    <row r="51" customFormat="false" ht="15" hidden="false" customHeight="false" outlineLevel="0" collapsed="false">
      <c r="A51" s="22" t="s">
        <v>64</v>
      </c>
      <c r="B51" s="34" t="n">
        <f aca="false">$B$11</f>
        <v>0</v>
      </c>
      <c r="C51" s="35" t="n">
        <f aca="false">IFERROR(B51/B$49,0)</f>
        <v>0</v>
      </c>
      <c r="E51" s="34" t="n">
        <f aca="false">$B$11</f>
        <v>0</v>
      </c>
      <c r="F51" s="35" t="n">
        <f aca="false">IFERROR(E51/E$49,0)</f>
        <v>0</v>
      </c>
    </row>
    <row r="52" customFormat="false" ht="15" hidden="false" customHeight="false" outlineLevel="0" collapsed="false">
      <c r="A52" s="22" t="s">
        <v>65</v>
      </c>
      <c r="B52" s="34" t="n">
        <v>0</v>
      </c>
      <c r="C52" s="35" t="n">
        <f aca="false">IFERROR(B52/B$49,0)</f>
        <v>0</v>
      </c>
      <c r="E52" s="34" t="n">
        <v>0</v>
      </c>
      <c r="F52" s="35" t="n">
        <f aca="false">IFERROR(E52/E$49,0)</f>
        <v>0</v>
      </c>
      <c r="G52" s="39" t="s">
        <v>95</v>
      </c>
    </row>
    <row r="53" customFormat="false" ht="15" hidden="false" customHeight="false" outlineLevel="0" collapsed="false">
      <c r="A53" s="22" t="s">
        <v>67</v>
      </c>
      <c r="B53" s="34" t="n">
        <f aca="false">$B$12</f>
        <v>4.7</v>
      </c>
      <c r="C53" s="35" t="n">
        <f aca="false">IFERROR(B53/B$49,0)</f>
        <v>0</v>
      </c>
      <c r="E53" s="34" t="n">
        <v>0</v>
      </c>
      <c r="F53" s="35" t="n">
        <v>0</v>
      </c>
      <c r="G53" s="39" t="s">
        <v>68</v>
      </c>
    </row>
    <row r="54" customFormat="false" ht="15" hidden="false" customHeight="false" outlineLevel="0" collapsed="false">
      <c r="A54" s="22" t="s">
        <v>73</v>
      </c>
      <c r="B54" s="34" t="n">
        <v>0</v>
      </c>
      <c r="C54" s="35" t="n">
        <v>0</v>
      </c>
      <c r="E54" s="34" t="n">
        <f aca="false">$B$13</f>
        <v>1.1</v>
      </c>
      <c r="F54" s="35" t="n">
        <f aca="false">IFERROR(E54/E$49,0)</f>
        <v>0</v>
      </c>
      <c r="G54" s="39" t="s">
        <v>74</v>
      </c>
    </row>
    <row r="55" customFormat="false" ht="15" hidden="false" customHeight="false" outlineLevel="0" collapsed="false">
      <c r="A55" s="22" t="s">
        <v>76</v>
      </c>
      <c r="B55" s="34" t="n">
        <f aca="false">$B$4*$B$14</f>
        <v>0</v>
      </c>
      <c r="C55" s="35" t="n">
        <f aca="false">IFERROR(B55/B$49,0)</f>
        <v>0</v>
      </c>
      <c r="E55" s="34" t="n">
        <v>0</v>
      </c>
      <c r="F55" s="35" t="n">
        <v>0</v>
      </c>
      <c r="G55" s="39" t="s">
        <v>68</v>
      </c>
    </row>
    <row r="56" customFormat="false" ht="15" hidden="false" customHeight="false" outlineLevel="0" collapsed="false">
      <c r="A56" s="22" t="s">
        <v>78</v>
      </c>
      <c r="B56" s="34" t="n">
        <f aca="false">$B$17</f>
        <v>0</v>
      </c>
      <c r="C56" s="35" t="n">
        <f aca="false">IFERROR(B56/B$49,0)</f>
        <v>0</v>
      </c>
      <c r="E56" s="34" t="n">
        <v>0</v>
      </c>
      <c r="F56" s="35" t="n">
        <v>0</v>
      </c>
      <c r="G56" s="39" t="s">
        <v>68</v>
      </c>
    </row>
    <row r="57" customFormat="false" ht="15" hidden="false" customHeight="false" outlineLevel="0" collapsed="false">
      <c r="A57" s="22" t="s">
        <v>80</v>
      </c>
      <c r="B57" s="34" t="n">
        <f aca="false">B47*$B$15</f>
        <v>0</v>
      </c>
      <c r="C57" s="35" t="n">
        <f aca="false">IFERROR(B57/B$49,0)</f>
        <v>0</v>
      </c>
      <c r="E57" s="34" t="n">
        <f aca="false">E47*$B$15</f>
        <v>0</v>
      </c>
      <c r="F57" s="35" t="n">
        <f aca="false">IFERROR(E57/E$49,0)</f>
        <v>0</v>
      </c>
    </row>
    <row r="58" customFormat="false" ht="15" hidden="false" customHeight="false" outlineLevel="0" collapsed="false">
      <c r="A58" s="22" t="s">
        <v>82</v>
      </c>
      <c r="B58" s="34" t="n">
        <f aca="false">B47*$B$16</f>
        <v>0</v>
      </c>
      <c r="C58" s="35" t="n">
        <f aca="false">IFERROR(B58/B$49,0)</f>
        <v>0</v>
      </c>
      <c r="E58" s="34" t="n">
        <f aca="false">E47*$B$16</f>
        <v>0</v>
      </c>
      <c r="F58" s="35" t="n">
        <f aca="false">IFERROR(E58/E$49,0)</f>
        <v>0</v>
      </c>
    </row>
    <row r="59" customFormat="false" ht="15" hidden="false" customHeight="false" outlineLevel="0" collapsed="false">
      <c r="A59" s="22" t="s">
        <v>84</v>
      </c>
      <c r="B59" s="34" t="n">
        <f aca="false">B49*$B$18</f>
        <v>0</v>
      </c>
      <c r="C59" s="35" t="n">
        <f aca="false">$B$18</f>
        <v>0</v>
      </c>
      <c r="E59" s="34" t="n">
        <f aca="false">E49*$B$18</f>
        <v>0</v>
      </c>
      <c r="F59" s="35" t="n">
        <f aca="false">$B$18</f>
        <v>0</v>
      </c>
    </row>
    <row r="60" customFormat="false" ht="15" hidden="false" customHeight="false" outlineLevel="0" collapsed="false">
      <c r="A60" s="36" t="s">
        <v>85</v>
      </c>
      <c r="B60" s="43" t="n">
        <f aca="false">SUM(B51:B59)</f>
        <v>4.7</v>
      </c>
      <c r="C60" s="44" t="n">
        <f aca="false">IFERROR(B60/B$49,0)</f>
        <v>0</v>
      </c>
      <c r="E60" s="43" t="n">
        <f aca="false">SUM(E51:E59)</f>
        <v>1.1</v>
      </c>
      <c r="F60" s="44" t="n">
        <f aca="false">IFERROR(E60/E$49,0)</f>
        <v>0</v>
      </c>
    </row>
    <row r="62" customFormat="false" ht="15" hidden="false" customHeight="false" outlineLevel="0" collapsed="false">
      <c r="A62" s="36" t="s">
        <v>88</v>
      </c>
      <c r="B62" s="47" t="n">
        <f aca="false">B49-B60</f>
        <v>-4.7</v>
      </c>
      <c r="C62" s="48" t="n">
        <f aca="false">IFERROR(B62/B$49,0)</f>
        <v>0</v>
      </c>
      <c r="E62" s="47" t="n">
        <f aca="false">E49-E60</f>
        <v>-1.1</v>
      </c>
      <c r="F62" s="48" t="n">
        <f aca="false">IFERROR(E62/E$49,0)</f>
        <v>0</v>
      </c>
    </row>
    <row r="63" customFormat="false" ht="15" hidden="false" customHeight="false" outlineLevel="0" collapsed="false">
      <c r="A63" s="22" t="s">
        <v>89</v>
      </c>
      <c r="B63" s="34" t="n">
        <f aca="false">B47*$E$4</f>
        <v>0</v>
      </c>
      <c r="C63" s="35" t="n">
        <f aca="false">IFERROR(B63/B$49,0)</f>
        <v>0</v>
      </c>
      <c r="E63" s="34" t="n">
        <f aca="false">E47*$E$4</f>
        <v>0</v>
      </c>
      <c r="F63" s="35" t="n">
        <f aca="false">IFERROR(E63/E$49,0)</f>
        <v>0</v>
      </c>
      <c r="G63" s="39" t="s">
        <v>90</v>
      </c>
    </row>
    <row r="64" customFormat="false" ht="15" hidden="false" customHeight="false" outlineLevel="0" collapsed="false">
      <c r="A64" s="22" t="s">
        <v>91</v>
      </c>
      <c r="B64" s="34" t="n">
        <f aca="false">(B62-B63)*$E$5</f>
        <v>-0</v>
      </c>
      <c r="C64" s="35" t="n">
        <f aca="false">IFERROR(B64/B$49,0)</f>
        <v>0</v>
      </c>
      <c r="E64" s="34" t="n">
        <f aca="false">(E62-E63)*$E$5</f>
        <v>-0</v>
      </c>
      <c r="F64" s="35" t="n">
        <f aca="false">IFERROR(E64/E$49,0)</f>
        <v>0</v>
      </c>
      <c r="G64" s="39" t="s">
        <v>92</v>
      </c>
    </row>
    <row r="65" customFormat="false" ht="15" hidden="false" customHeight="false" outlineLevel="0" collapsed="false">
      <c r="A65" s="22" t="s">
        <v>93</v>
      </c>
      <c r="B65" s="34" t="n">
        <f aca="false">(B62-B63)*$E$6</f>
        <v>-0</v>
      </c>
      <c r="C65" s="35" t="n">
        <f aca="false">IFERROR(B65/B$49,0)</f>
        <v>0</v>
      </c>
      <c r="E65" s="34" t="n">
        <f aca="false">(E62-E63)*$E$6</f>
        <v>-0</v>
      </c>
      <c r="F65" s="35" t="n">
        <f aca="false">IFERROR(E65/E$49,0)</f>
        <v>0</v>
      </c>
    </row>
    <row r="66" customFormat="false" ht="15" hidden="false" customHeight="false" outlineLevel="0" collapsed="false">
      <c r="A66" s="49" t="s">
        <v>94</v>
      </c>
      <c r="B66" s="50" t="n">
        <f aca="false">B62-B63-B64-B65</f>
        <v>-4.7</v>
      </c>
      <c r="C66" s="51" t="n">
        <f aca="false">IFERROR(B66/B$49,0)</f>
        <v>0</v>
      </c>
      <c r="D66" s="52"/>
      <c r="E66" s="50" t="n">
        <f aca="false">E62-E63-E64-E65</f>
        <v>-1.1</v>
      </c>
      <c r="F66" s="51" t="n">
        <f aca="false">IFERROR(E66/E$49,0)</f>
        <v>0</v>
      </c>
    </row>
  </sheetData>
  <mergeCells count="10">
    <mergeCell ref="A1:F1"/>
    <mergeCell ref="H1:J1"/>
    <mergeCell ref="H17:J17"/>
    <mergeCell ref="A20:F20"/>
    <mergeCell ref="B21:C21"/>
    <mergeCell ref="E21:F21"/>
    <mergeCell ref="H28:K28"/>
    <mergeCell ref="A44:F44"/>
    <mergeCell ref="B45:C45"/>
    <mergeCell ref="E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2026-02-06T14:47:43Z</dcterms:created>
  <dc:creator>openpyxl</dc:creator>
  <dc:description/>
  <dc:language>en-US</dc:language>
  <cp:lastModifiedBy/>
  <dcterms:modified xsi:type="dcterms:W3CDTF">2026-02-06T14:47:43Z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