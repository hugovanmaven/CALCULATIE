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vandoornum/Maven Dropbox/Maven Team Folder/Maven Publishing/Voorjaar 2026/Rechts verpest onze seks/Productie/"/>
    </mc:Choice>
  </mc:AlternateContent>
  <xr:revisionPtr revIDLastSave="0" documentId="8_{A4476371-3D7E-FC40-853B-87B710FD43AB}" xr6:coauthVersionLast="47" xr6:coauthVersionMax="47" xr10:uidLastSave="{00000000-0000-0000-0000-000000000000}"/>
  <bookViews>
    <workbookView xWindow="25600" yWindow="600" windowWidth="25600" windowHeight="28200" xr2:uid="{846F583D-5491-964F-A1D8-094AFE8CCCDF}"/>
  </bookViews>
  <sheets>
    <sheet name="Verkoop" sheetId="2" r:id="rId1"/>
    <sheet name="Kost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D14" i="1"/>
  <c r="H16" i="1"/>
  <c r="J16" i="1" s="1"/>
  <c r="J19" i="1"/>
  <c r="B8" i="2"/>
  <c r="B9" i="2" s="1"/>
  <c r="J13" i="1"/>
  <c r="J15" i="1"/>
  <c r="P21" i="1"/>
  <c r="P20" i="1"/>
  <c r="P19" i="1"/>
  <c r="P18" i="1"/>
  <c r="P17" i="1"/>
  <c r="P16" i="1"/>
  <c r="P15" i="1"/>
  <c r="P14" i="1"/>
  <c r="P13" i="1"/>
  <c r="J21" i="1"/>
  <c r="J20" i="1"/>
  <c r="J18" i="1"/>
  <c r="J17" i="1"/>
  <c r="J14" i="1"/>
  <c r="D15" i="1"/>
  <c r="D16" i="1"/>
  <c r="D17" i="1"/>
  <c r="D18" i="1"/>
  <c r="D19" i="1"/>
  <c r="D20" i="1"/>
  <c r="D21" i="1"/>
  <c r="D22" i="1"/>
  <c r="D23" i="1"/>
  <c r="D13" i="1"/>
  <c r="C8" i="1" l="1"/>
  <c r="C9" i="1" s="1"/>
  <c r="B10" i="2"/>
  <c r="B12" i="2" s="1"/>
  <c r="B25" i="2" s="1"/>
  <c r="B26" i="2"/>
  <c r="B7" i="1"/>
  <c r="B5" i="1"/>
  <c r="B6" i="1"/>
  <c r="B21" i="2" l="1"/>
  <c r="B8" i="1"/>
  <c r="B9" i="1" s="1"/>
  <c r="B7" i="2" s="1"/>
  <c r="B23" i="2" s="1"/>
  <c r="D23" i="2" l="1"/>
  <c r="B27" i="2"/>
  <c r="D24" i="2"/>
  <c r="D25" i="2"/>
  <c r="D26" i="2"/>
  <c r="D27" i="2" l="1"/>
  <c r="D30" i="2"/>
  <c r="B28" i="2"/>
  <c r="D28" i="2" l="1"/>
  <c r="B30" i="2"/>
  <c r="B32" i="2" l="1"/>
  <c r="D32" i="2" s="1"/>
  <c r="B33" i="2" l="1"/>
  <c r="D33" i="2" s="1"/>
</calcChain>
</file>

<file path=xl/sharedStrings.xml><?xml version="1.0" encoding="utf-8"?>
<sst xmlns="http://schemas.openxmlformats.org/spreadsheetml/2006/main" count="68" uniqueCount="51">
  <si>
    <t>VORMGEVING</t>
  </si>
  <si>
    <t>OVERIGE KOSTEN</t>
  </si>
  <si>
    <t>Post</t>
  </si>
  <si>
    <t>Begroot</t>
  </si>
  <si>
    <t>Aantal</t>
  </si>
  <si>
    <t>Gerealiseerd</t>
  </si>
  <si>
    <t>Prijs</t>
  </si>
  <si>
    <t>Persklaarmaken</t>
  </si>
  <si>
    <t>Bureauredactie</t>
  </si>
  <si>
    <t>Vormgeving</t>
  </si>
  <si>
    <t>Overige kosten</t>
  </si>
  <si>
    <t>Totaal</t>
  </si>
  <si>
    <t>Correctie</t>
  </si>
  <si>
    <t>REDACTIE / PRODUCTIE</t>
  </si>
  <si>
    <t>Drukken</t>
  </si>
  <si>
    <t>E-boek</t>
  </si>
  <si>
    <t>Oplage</t>
  </si>
  <si>
    <t>Aantal woorden</t>
  </si>
  <si>
    <t>VERKOOP</t>
  </si>
  <si>
    <t>ROYALTY</t>
  </si>
  <si>
    <t>percentage</t>
  </si>
  <si>
    <t>Voorschot</t>
  </si>
  <si>
    <t>Kostprijs</t>
  </si>
  <si>
    <t>Verkoopprijs ex btw</t>
  </si>
  <si>
    <t>Verkoopprijs</t>
  </si>
  <si>
    <t>Boekhandelskorting</t>
  </si>
  <si>
    <t>Per exemplaar</t>
  </si>
  <si>
    <t>MARGE PER EXEMPLAAR</t>
  </si>
  <si>
    <t>Netto omzet</t>
  </si>
  <si>
    <t>Distributie</t>
  </si>
  <si>
    <t>Royalty</t>
  </si>
  <si>
    <t>Verkoopprijs incl btw</t>
  </si>
  <si>
    <t>Externe redactie</t>
  </si>
  <si>
    <t>Bedrag</t>
  </si>
  <si>
    <t>Percentage</t>
  </si>
  <si>
    <t>Omslag onvoorzien</t>
  </si>
  <si>
    <t>Binnenwerk onvoorzien</t>
  </si>
  <si>
    <t>Kostprijs per exemplaar</t>
  </si>
  <si>
    <t>DTP</t>
  </si>
  <si>
    <t>Marketing</t>
  </si>
  <si>
    <t>Winstdeling</t>
  </si>
  <si>
    <t>Netto winst Maven</t>
  </si>
  <si>
    <t>Doel</t>
  </si>
  <si>
    <t>Overige  verkoopkosten</t>
  </si>
  <si>
    <t>Brutowinst per exemplaar</t>
  </si>
  <si>
    <t>Kostprijs verkopen</t>
  </si>
  <si>
    <t>Omslag &amp; binnenwerk</t>
  </si>
  <si>
    <t>Dummy's</t>
  </si>
  <si>
    <t>FULL BODY THINKING</t>
  </si>
  <si>
    <t>Redactie/productie</t>
  </si>
  <si>
    <t>Rechts verpest onze seks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</si>
</sst>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€&quot;\ * #,##0.00_);_(&quot;€&quot;\ * \(#,##0.00\);_(&quot;€&quot;\ * &quot;-&quot;??_);_(@_)"/>
    <numFmt numFmtId="164" formatCode="_(&quot;€&quot;\ * #,##0.0000_);_(&quot;€&quot;\ * \(#,##0.0000\);_(&quot;€&quot;\ * &quot;-&quot;??_);_(@_)"/>
    <numFmt numFmtId="165" formatCode="_(&quot;€&quot;\ * #,##0.0_);_(&quot;€&quot;\ * \(#,##0.0\);_(&quot;€&quot;\ 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44" fontId="0" fillId="0" borderId="0" xfId="0" applyNumberFormat="1"/>
    <xf numFmtId="0" fontId="1" fillId="2" borderId="0" xfId="0" applyFont="1" applyFill="1"/>
    <xf numFmtId="0" fontId="0" fillId="2" borderId="0" xfId="0" applyFill="1"/>
    <xf numFmtId="44" fontId="0" fillId="2" borderId="0" xfId="0" applyNumberFormat="1" applyFill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44" fontId="0" fillId="4" borderId="0" xfId="0" applyNumberFormat="1" applyFill="1"/>
    <xf numFmtId="3" fontId="0" fillId="2" borderId="0" xfId="0" applyNumberFormat="1" applyFill="1"/>
    <xf numFmtId="164" fontId="0" fillId="2" borderId="0" xfId="0" applyNumberFormat="1" applyFill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44" fontId="0" fillId="4" borderId="1" xfId="0" applyNumberFormat="1" applyFill="1" applyBorder="1"/>
    <xf numFmtId="44" fontId="0" fillId="5" borderId="0" xfId="0" applyNumberFormat="1" applyFill="1"/>
    <xf numFmtId="44" fontId="0" fillId="5" borderId="1" xfId="0" applyNumberFormat="1" applyFill="1" applyBorder="1"/>
    <xf numFmtId="0" fontId="1" fillId="5" borderId="0" xfId="0" applyFont="1" applyFill="1"/>
    <xf numFmtId="0" fontId="2" fillId="6" borderId="0" xfId="0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0" borderId="0" xfId="0" applyFont="1"/>
    <xf numFmtId="0" fontId="1" fillId="5" borderId="1" xfId="0" applyFont="1" applyFill="1" applyBorder="1"/>
    <xf numFmtId="0" fontId="1" fillId="4" borderId="1" xfId="0" applyFont="1" applyFill="1" applyBorder="1"/>
    <xf numFmtId="0" fontId="0" fillId="3" borderId="0" xfId="0" applyFill="1" applyAlignment="1">
      <alignment horizontal="center"/>
    </xf>
    <xf numFmtId="9" fontId="2" fillId="6" borderId="0" xfId="1" applyFont="1" applyFill="1" applyAlignment="1">
      <alignment horizontal="center"/>
    </xf>
    <xf numFmtId="44" fontId="1" fillId="2" borderId="0" xfId="0" applyNumberFormat="1" applyFont="1" applyFill="1"/>
    <xf numFmtId="9" fontId="1" fillId="5" borderId="0" xfId="0" applyNumberFormat="1" applyFont="1" applyFill="1"/>
    <xf numFmtId="9" fontId="0" fillId="5" borderId="0" xfId="0" applyNumberFormat="1" applyFill="1"/>
    <xf numFmtId="3" fontId="2" fillId="6" borderId="0" xfId="0" applyNumberFormat="1" applyFont="1" applyFill="1" applyAlignment="1">
      <alignment horizontal="center"/>
    </xf>
    <xf numFmtId="165" fontId="0" fillId="2" borderId="0" xfId="0" applyNumberFormat="1" applyFill="1"/>
    <xf numFmtId="9" fontId="0" fillId="6" borderId="0" xfId="0" applyNumberFormat="1" applyFill="1"/>
    <xf numFmtId="44" fontId="0" fillId="6" borderId="0" xfId="0" applyNumberFormat="1" applyFill="1"/>
    <xf numFmtId="9" fontId="0" fillId="5" borderId="0" xfId="1" applyFont="1" applyFill="1"/>
    <xf numFmtId="0" fontId="4" fillId="2" borderId="0" xfId="0" applyFont="1" applyFill="1"/>
    <xf numFmtId="9" fontId="0" fillId="4" borderId="0" xfId="1" applyFont="1" applyFill="1"/>
    <xf numFmtId="9" fontId="0" fillId="2" borderId="0" xfId="0" applyNumberFormat="1" applyFill="1"/>
    <xf numFmtId="9" fontId="0" fillId="4" borderId="0" xfId="0" applyNumberFormat="1" applyFill="1"/>
    <xf numFmtId="165" fontId="1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CA6C-6B1D-CD48-8850-50A2A46A58AD}">
  <dimension ref="A1:K36"/>
  <sheetViews>
    <sheetView tabSelected="1" workbookViewId="0">
      <selection activeCell="A2" sqref="A2"/>
    </sheetView>
  </sheetViews>
  <sheetFormatPr baseColWidth="10" defaultRowHeight="16" x14ac:dyDescent="0.2"/>
  <cols>
    <col min="1" max="1" width="21.83203125" bestFit="1" customWidth="1"/>
    <col min="2" max="2" width="15.5" customWidth="1"/>
    <col min="6" max="6" width="5.5" customWidth="1"/>
    <col min="12" max="12" width="5.1640625" customWidth="1"/>
    <col min="13" max="13" width="24.33203125" bestFit="1" customWidth="1"/>
  </cols>
  <sheetData>
    <row r="1" spans="1:11" x14ac:dyDescent="0.2">
      <c r="A1" s="40" t="s">
        <v>50</v>
      </c>
      <c r="B1" s="40"/>
      <c r="C1" s="40"/>
      <c r="D1" s="40"/>
      <c r="E1" s="40"/>
    </row>
    <row r="2" spans="1:11" x14ac:dyDescent="0.2">
      <c r="A2" s="5" t="s">
        <v>16</v>
      </c>
      <c r="B2" s="17">
        <v>2000</v>
      </c>
    </row>
    <row r="3" spans="1:11" x14ac:dyDescent="0.2">
      <c r="A3" s="5" t="s">
        <v>24</v>
      </c>
      <c r="B3" s="17">
        <v>24.99</v>
      </c>
    </row>
    <row r="4" spans="1:11" x14ac:dyDescent="0.2">
      <c r="A4" s="5" t="s">
        <v>25</v>
      </c>
      <c r="B4" s="24">
        <v>0.47</v>
      </c>
    </row>
    <row r="5" spans="1:11" x14ac:dyDescent="0.2">
      <c r="A5" s="10"/>
      <c r="B5" s="10"/>
    </row>
    <row r="6" spans="1:11" x14ac:dyDescent="0.2">
      <c r="A6" s="5" t="s">
        <v>18</v>
      </c>
      <c r="B6" s="11" t="s">
        <v>26</v>
      </c>
      <c r="C6" s="5"/>
      <c r="D6" s="5"/>
      <c r="E6" s="5"/>
      <c r="G6" s="5" t="s">
        <v>19</v>
      </c>
      <c r="H6" s="5"/>
      <c r="I6" s="5"/>
      <c r="J6" s="5"/>
      <c r="K6" s="5"/>
    </row>
    <row r="7" spans="1:11" x14ac:dyDescent="0.2">
      <c r="A7" s="3" t="s">
        <v>22</v>
      </c>
      <c r="B7" s="4">
        <f>Kosten!B9</f>
        <v>3.64</v>
      </c>
      <c r="C7" s="4"/>
      <c r="D7" s="14"/>
      <c r="E7" s="7"/>
      <c r="G7" s="2" t="s">
        <v>21</v>
      </c>
      <c r="H7" s="3"/>
      <c r="I7" s="4"/>
      <c r="J7" s="31">
        <v>0</v>
      </c>
      <c r="K7" s="4"/>
    </row>
    <row r="8" spans="1:11" x14ac:dyDescent="0.2">
      <c r="A8" s="3" t="s">
        <v>31</v>
      </c>
      <c r="B8" s="4">
        <f>B3</f>
        <v>24.99</v>
      </c>
      <c r="C8" s="4"/>
      <c r="D8" s="14"/>
      <c r="E8" s="7"/>
      <c r="G8" s="2" t="s">
        <v>4</v>
      </c>
      <c r="H8" s="2"/>
      <c r="I8" s="2"/>
      <c r="J8" s="2" t="s">
        <v>20</v>
      </c>
      <c r="K8" s="2"/>
    </row>
    <row r="9" spans="1:11" x14ac:dyDescent="0.2">
      <c r="A9" s="3" t="s">
        <v>23</v>
      </c>
      <c r="B9" s="4">
        <f>B8/1.09</f>
        <v>22.926605504587151</v>
      </c>
      <c r="C9" s="4"/>
      <c r="D9" s="14"/>
      <c r="E9" s="7"/>
      <c r="G9" s="8">
        <v>4999</v>
      </c>
      <c r="H9" s="8"/>
      <c r="I9" s="9"/>
      <c r="J9" s="30">
        <v>0</v>
      </c>
      <c r="K9" s="4"/>
    </row>
    <row r="10" spans="1:11" x14ac:dyDescent="0.2">
      <c r="A10" s="3" t="s">
        <v>25</v>
      </c>
      <c r="B10" s="4">
        <f>-1*(B9*B4)</f>
        <v>-10.775504587155961</v>
      </c>
      <c r="C10" s="4"/>
      <c r="D10" s="14"/>
      <c r="E10" s="7"/>
      <c r="G10" s="8">
        <v>9999</v>
      </c>
      <c r="H10" s="3"/>
      <c r="I10" s="4"/>
      <c r="J10" s="30">
        <v>0</v>
      </c>
      <c r="K10" s="4"/>
    </row>
    <row r="11" spans="1:11" x14ac:dyDescent="0.2">
      <c r="A11" s="3"/>
      <c r="B11" s="3"/>
      <c r="C11" s="4"/>
      <c r="D11" s="14"/>
      <c r="E11" s="7"/>
      <c r="G11" s="3">
        <v>999999</v>
      </c>
      <c r="H11" s="8"/>
      <c r="I11" s="9"/>
      <c r="J11" s="30">
        <v>0</v>
      </c>
      <c r="K11" s="4"/>
    </row>
    <row r="12" spans="1:11" x14ac:dyDescent="0.2">
      <c r="A12" s="2" t="s">
        <v>28</v>
      </c>
      <c r="B12" s="25">
        <f>B9+B10</f>
        <v>12.15110091743119</v>
      </c>
      <c r="C12" s="4"/>
      <c r="D12" s="14"/>
      <c r="E12" s="7"/>
      <c r="G12" s="3"/>
      <c r="H12" s="3"/>
      <c r="I12" s="4"/>
      <c r="J12" s="4"/>
      <c r="K12" s="4"/>
    </row>
    <row r="13" spans="1:11" x14ac:dyDescent="0.2">
      <c r="A13" s="3"/>
      <c r="B13" s="3"/>
      <c r="C13" s="4"/>
      <c r="D13" s="14"/>
      <c r="E13" s="7"/>
      <c r="G13" s="3"/>
      <c r="H13" s="3"/>
      <c r="I13" s="4"/>
      <c r="J13" s="4"/>
      <c r="K13" s="4"/>
    </row>
    <row r="14" spans="1:11" x14ac:dyDescent="0.2">
      <c r="A14" s="3"/>
      <c r="B14" s="3"/>
      <c r="C14" s="4"/>
      <c r="D14" s="14"/>
      <c r="E14" s="7"/>
      <c r="G14" s="3"/>
      <c r="H14" s="3"/>
      <c r="I14" s="4"/>
      <c r="J14" s="4"/>
      <c r="K14" s="4"/>
    </row>
    <row r="15" spans="1:11" x14ac:dyDescent="0.2">
      <c r="A15" s="3"/>
      <c r="B15" s="3"/>
      <c r="C15" s="4"/>
      <c r="D15" s="14"/>
      <c r="E15" s="7"/>
      <c r="G15" s="3"/>
      <c r="H15" s="3"/>
      <c r="I15" s="4"/>
      <c r="J15" s="4"/>
      <c r="K15" s="4"/>
    </row>
    <row r="16" spans="1:11" x14ac:dyDescent="0.2">
      <c r="A16" s="3"/>
      <c r="B16" s="3"/>
      <c r="C16" s="4"/>
      <c r="D16" s="14"/>
      <c r="E16" s="7"/>
      <c r="G16" s="3"/>
      <c r="H16" s="3"/>
      <c r="I16" s="4"/>
      <c r="J16" s="4"/>
      <c r="K16" s="4"/>
    </row>
    <row r="17" spans="1:11" x14ac:dyDescent="0.2">
      <c r="A17" s="3"/>
      <c r="B17" s="3"/>
      <c r="C17" s="4"/>
      <c r="D17" s="14"/>
      <c r="E17" s="7"/>
      <c r="G17" s="3"/>
      <c r="H17" s="3"/>
      <c r="I17" s="4"/>
      <c r="J17" s="4"/>
      <c r="K17" s="4"/>
    </row>
    <row r="18" spans="1:11" x14ac:dyDescent="0.2">
      <c r="G18" s="3"/>
      <c r="H18" s="3"/>
      <c r="I18" s="4"/>
      <c r="J18" s="4"/>
      <c r="K18" s="4"/>
    </row>
    <row r="20" spans="1:11" x14ac:dyDescent="0.2">
      <c r="A20" s="5" t="s">
        <v>27</v>
      </c>
      <c r="B20" s="5" t="s">
        <v>33</v>
      </c>
      <c r="C20" s="23"/>
      <c r="D20" s="5" t="s">
        <v>34</v>
      </c>
      <c r="E20" s="5" t="s">
        <v>42</v>
      </c>
    </row>
    <row r="21" spans="1:11" x14ac:dyDescent="0.2">
      <c r="A21" s="2" t="s">
        <v>28</v>
      </c>
      <c r="B21" s="37">
        <f>B12</f>
        <v>12.15110091743119</v>
      </c>
      <c r="C21" s="2"/>
      <c r="D21" s="26">
        <v>1</v>
      </c>
      <c r="E21" s="6"/>
    </row>
    <row r="22" spans="1:11" x14ac:dyDescent="0.2">
      <c r="A22" s="2"/>
      <c r="B22" s="37"/>
      <c r="C22" s="2"/>
      <c r="D22" s="26"/>
      <c r="E22" s="6"/>
    </row>
    <row r="23" spans="1:11" x14ac:dyDescent="0.2">
      <c r="A23" s="3" t="s">
        <v>45</v>
      </c>
      <c r="B23" s="29">
        <f>B7</f>
        <v>3.64</v>
      </c>
      <c r="C23" s="4"/>
      <c r="D23" s="27">
        <f>B23/$B$21</f>
        <v>0.29956133396754936</v>
      </c>
      <c r="E23" s="34">
        <v>0.3</v>
      </c>
    </row>
    <row r="24" spans="1:11" x14ac:dyDescent="0.2">
      <c r="A24" s="3" t="s">
        <v>29</v>
      </c>
      <c r="B24" s="29">
        <v>1.1000000000000001</v>
      </c>
      <c r="C24" s="4"/>
      <c r="D24" s="27">
        <f t="shared" ref="D24:D28" si="0">B24/$B$21</f>
        <v>9.0526776748435248E-2</v>
      </c>
      <c r="E24" s="7"/>
    </row>
    <row r="25" spans="1:11" x14ac:dyDescent="0.2">
      <c r="A25" s="3" t="s">
        <v>39</v>
      </c>
      <c r="B25" s="29">
        <f>B12*C25</f>
        <v>0.48604403669724761</v>
      </c>
      <c r="C25" s="35">
        <v>0.04</v>
      </c>
      <c r="D25" s="27">
        <f t="shared" si="0"/>
        <v>0.04</v>
      </c>
      <c r="E25" s="36">
        <v>0.1</v>
      </c>
    </row>
    <row r="26" spans="1:11" x14ac:dyDescent="0.2">
      <c r="A26" s="3" t="s">
        <v>30</v>
      </c>
      <c r="B26" s="29">
        <f>IF((J9*(B2*B9)&gt;J7),J9*B9,0)</f>
        <v>0</v>
      </c>
      <c r="C26" s="4"/>
      <c r="D26" s="27">
        <f t="shared" si="0"/>
        <v>0</v>
      </c>
      <c r="E26" s="7"/>
    </row>
    <row r="27" spans="1:11" x14ac:dyDescent="0.2">
      <c r="A27" s="3" t="s">
        <v>43</v>
      </c>
      <c r="B27" s="29">
        <f>C27*B21</f>
        <v>0.2430220183486238</v>
      </c>
      <c r="C27" s="35">
        <v>0.02</v>
      </c>
      <c r="D27" s="27">
        <f t="shared" si="0"/>
        <v>0.02</v>
      </c>
      <c r="E27" s="36">
        <v>0.05</v>
      </c>
    </row>
    <row r="28" spans="1:11" x14ac:dyDescent="0.2">
      <c r="A28" s="39" t="s">
        <v>11</v>
      </c>
      <c r="B28" s="38">
        <f>SUM(B23:B27)</f>
        <v>5.4690660550458716</v>
      </c>
      <c r="C28" s="4"/>
      <c r="D28" s="27">
        <f t="shared" si="0"/>
        <v>0.45008811071598459</v>
      </c>
      <c r="E28" s="7"/>
    </row>
    <row r="29" spans="1:11" x14ac:dyDescent="0.2">
      <c r="A29" s="3"/>
      <c r="B29" s="3"/>
      <c r="C29" s="4"/>
      <c r="D29" s="14"/>
      <c r="E29" s="7"/>
    </row>
    <row r="30" spans="1:11" x14ac:dyDescent="0.2">
      <c r="A30" s="3" t="s">
        <v>44</v>
      </c>
      <c r="B30" s="4">
        <f>B21-B28</f>
        <v>6.6820348623853185</v>
      </c>
      <c r="C30" s="4"/>
      <c r="D30" s="32">
        <f>SUM(B23:B27)/B21</f>
        <v>0.45008811071598459</v>
      </c>
      <c r="E30" s="36">
        <v>0.35</v>
      </c>
    </row>
    <row r="31" spans="1:11" x14ac:dyDescent="0.2">
      <c r="A31" s="3"/>
      <c r="B31" s="4"/>
      <c r="C31" s="4"/>
      <c r="D31" s="14"/>
      <c r="E31" s="7"/>
    </row>
    <row r="32" spans="1:11" x14ac:dyDescent="0.2">
      <c r="A32" s="3" t="s">
        <v>40</v>
      </c>
      <c r="B32" s="4">
        <f>(SUM(B30:B30)*C32)*-1</f>
        <v>-3.3410174311926593</v>
      </c>
      <c r="C32" s="35">
        <v>0.5</v>
      </c>
      <c r="D32" s="27">
        <f>B32/B21*-1</f>
        <v>0.27495594464200768</v>
      </c>
      <c r="E32" s="34">
        <v>0.2</v>
      </c>
    </row>
    <row r="33" spans="1:5" x14ac:dyDescent="0.2">
      <c r="A33" s="33" t="s">
        <v>41</v>
      </c>
      <c r="B33" s="4">
        <f>B30+B32</f>
        <v>3.3410174311926593</v>
      </c>
      <c r="C33" s="4"/>
      <c r="D33" s="32">
        <f>B33/B21</f>
        <v>0.27495594464200768</v>
      </c>
      <c r="E33" s="7"/>
    </row>
    <row r="34" spans="1:5" x14ac:dyDescent="0.2">
      <c r="A34" s="3"/>
      <c r="B34" s="3"/>
      <c r="C34" s="4"/>
      <c r="D34" s="14"/>
      <c r="E34" s="7"/>
    </row>
    <row r="35" spans="1:5" x14ac:dyDescent="0.2">
      <c r="A35" s="3"/>
      <c r="B35" s="3"/>
      <c r="C35" s="4"/>
      <c r="D35" s="14"/>
      <c r="E35" s="7"/>
    </row>
    <row r="36" spans="1:5" x14ac:dyDescent="0.2">
      <c r="A36" s="3"/>
      <c r="B36" s="3"/>
      <c r="C36" s="4"/>
      <c r="D36" s="14"/>
      <c r="E36" s="7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6C37-A5DD-2C47-AEEA-CA61947684FF}">
  <dimension ref="A1:Q30"/>
  <sheetViews>
    <sheetView workbookViewId="0">
      <selection activeCell="N15" sqref="N15"/>
    </sheetView>
  </sheetViews>
  <sheetFormatPr baseColWidth="10" defaultRowHeight="16" x14ac:dyDescent="0.2"/>
  <cols>
    <col min="1" max="1" width="19.1640625" customWidth="1"/>
    <col min="2" max="2" width="14.1640625" customWidth="1"/>
    <col min="3" max="3" width="11.83203125" bestFit="1" customWidth="1"/>
    <col min="5" max="5" width="11.83203125" bestFit="1" customWidth="1"/>
    <col min="6" max="6" width="2.33203125" customWidth="1"/>
    <col min="7" max="7" width="14" bestFit="1" customWidth="1"/>
    <col min="9" max="9" width="11.5" customWidth="1"/>
    <col min="10" max="11" width="11.83203125" bestFit="1" customWidth="1"/>
    <col min="12" max="12" width="1.5" customWidth="1"/>
    <col min="13" max="13" width="19.5" bestFit="1" customWidth="1"/>
    <col min="17" max="17" width="11.83203125" bestFit="1" customWidth="1"/>
  </cols>
  <sheetData>
    <row r="1" spans="1:17" x14ac:dyDescent="0.2">
      <c r="A1" s="40" t="s">
        <v>48</v>
      </c>
      <c r="B1" s="40"/>
      <c r="C1" s="40"/>
      <c r="D1" s="40"/>
      <c r="E1" s="40"/>
    </row>
    <row r="2" spans="1:17" x14ac:dyDescent="0.2">
      <c r="A2" s="5" t="s">
        <v>17</v>
      </c>
      <c r="B2" s="28">
        <v>60000</v>
      </c>
      <c r="C2" s="10"/>
      <c r="D2" s="10"/>
      <c r="E2" s="10"/>
    </row>
    <row r="3" spans="1:17" x14ac:dyDescent="0.2">
      <c r="A3" s="5" t="s">
        <v>16</v>
      </c>
      <c r="B3" s="17">
        <v>2000</v>
      </c>
      <c r="C3" s="10"/>
      <c r="D3" s="10"/>
      <c r="E3" s="10"/>
    </row>
    <row r="4" spans="1:17" x14ac:dyDescent="0.2">
      <c r="A4" s="18"/>
      <c r="B4" s="21" t="s">
        <v>3</v>
      </c>
      <c r="C4" s="22" t="s">
        <v>5</v>
      </c>
      <c r="D4" s="19"/>
      <c r="E4" s="19"/>
    </row>
    <row r="5" spans="1:17" x14ac:dyDescent="0.2">
      <c r="A5" s="11" t="s">
        <v>9</v>
      </c>
      <c r="B5" s="14">
        <f>SUM(D13:D23)</f>
        <v>3420</v>
      </c>
      <c r="C5" s="7">
        <f>SUM(E13:E23)</f>
        <v>7310</v>
      </c>
    </row>
    <row r="6" spans="1:17" x14ac:dyDescent="0.2">
      <c r="A6" s="11" t="s">
        <v>49</v>
      </c>
      <c r="B6" s="14">
        <f>SUM(J13:J23)</f>
        <v>3360</v>
      </c>
      <c r="C6" s="7">
        <f>SUM(K13:K23)</f>
        <v>20668</v>
      </c>
    </row>
    <row r="7" spans="1:17" x14ac:dyDescent="0.2">
      <c r="A7" s="11" t="s">
        <v>10</v>
      </c>
      <c r="B7" s="14">
        <f>SUM(P13:P23)</f>
        <v>500</v>
      </c>
      <c r="C7" s="7">
        <f>SUM(Q13:Q23)</f>
        <v>0</v>
      </c>
    </row>
    <row r="8" spans="1:17" x14ac:dyDescent="0.2">
      <c r="A8" s="12" t="s">
        <v>11</v>
      </c>
      <c r="B8" s="15">
        <f>SUM(B5:B7)</f>
        <v>7280</v>
      </c>
      <c r="C8" s="13">
        <f>SUM(C5:C7)</f>
        <v>27978</v>
      </c>
    </row>
    <row r="9" spans="1:17" x14ac:dyDescent="0.2">
      <c r="A9" s="11" t="s">
        <v>37</v>
      </c>
      <c r="B9" s="14">
        <f>B8/B3</f>
        <v>3.64</v>
      </c>
      <c r="C9" s="7">
        <f>C8/B3</f>
        <v>13.989000000000001</v>
      </c>
    </row>
    <row r="10" spans="1:17" x14ac:dyDescent="0.2">
      <c r="A10" s="20"/>
      <c r="B10" s="1"/>
      <c r="C10" s="1"/>
    </row>
    <row r="11" spans="1:17" x14ac:dyDescent="0.2">
      <c r="A11" s="40" t="s">
        <v>0</v>
      </c>
      <c r="B11" s="40"/>
      <c r="C11" s="40"/>
      <c r="D11" s="40"/>
      <c r="E11" s="40"/>
      <c r="G11" s="40" t="s">
        <v>13</v>
      </c>
      <c r="H11" s="40"/>
      <c r="I11" s="40"/>
      <c r="J11" s="40"/>
      <c r="K11" s="40"/>
      <c r="M11" s="40" t="s">
        <v>1</v>
      </c>
      <c r="N11" s="41"/>
      <c r="O11" s="41"/>
      <c r="P11" s="41"/>
      <c r="Q11" s="41"/>
    </row>
    <row r="12" spans="1:17" x14ac:dyDescent="0.2">
      <c r="A12" s="2" t="s">
        <v>2</v>
      </c>
      <c r="B12" s="2" t="s">
        <v>4</v>
      </c>
      <c r="C12" s="2" t="s">
        <v>6</v>
      </c>
      <c r="D12" s="16" t="s">
        <v>3</v>
      </c>
      <c r="E12" s="6" t="s">
        <v>5</v>
      </c>
      <c r="G12" s="2" t="s">
        <v>2</v>
      </c>
      <c r="H12" s="2" t="s">
        <v>4</v>
      </c>
      <c r="I12" s="2" t="s">
        <v>6</v>
      </c>
      <c r="J12" s="16" t="s">
        <v>3</v>
      </c>
      <c r="K12" s="6" t="s">
        <v>5</v>
      </c>
      <c r="M12" s="2" t="s">
        <v>2</v>
      </c>
      <c r="N12" s="2" t="s">
        <v>4</v>
      </c>
      <c r="O12" s="2" t="s">
        <v>6</v>
      </c>
      <c r="P12" s="16" t="s">
        <v>3</v>
      </c>
      <c r="Q12" s="6" t="s">
        <v>5</v>
      </c>
    </row>
    <row r="13" spans="1:17" x14ac:dyDescent="0.2">
      <c r="A13" s="3" t="s">
        <v>46</v>
      </c>
      <c r="B13" s="3">
        <v>1</v>
      </c>
      <c r="C13" s="4">
        <v>2700</v>
      </c>
      <c r="D13" s="14">
        <f>C13*B13</f>
        <v>2700</v>
      </c>
      <c r="E13" s="7">
        <v>5500</v>
      </c>
      <c r="G13" s="3" t="s">
        <v>7</v>
      </c>
      <c r="H13" s="8">
        <v>6.5</v>
      </c>
      <c r="I13" s="29">
        <v>40</v>
      </c>
      <c r="J13" s="14">
        <f t="shared" ref="J13:J21" si="0">I13*H13</f>
        <v>260</v>
      </c>
      <c r="K13" s="7">
        <v>640</v>
      </c>
      <c r="M13" s="3" t="s">
        <v>35</v>
      </c>
      <c r="N13" s="3">
        <v>0</v>
      </c>
      <c r="O13" s="4">
        <v>500</v>
      </c>
      <c r="P13" s="14">
        <f t="shared" ref="P13:P21" si="1">O13*N13</f>
        <v>0</v>
      </c>
      <c r="Q13" s="7">
        <v>0</v>
      </c>
    </row>
    <row r="14" spans="1:17" x14ac:dyDescent="0.2">
      <c r="A14" s="3" t="s">
        <v>38</v>
      </c>
      <c r="B14" s="3">
        <v>120</v>
      </c>
      <c r="C14" s="4">
        <v>6</v>
      </c>
      <c r="D14" s="14">
        <f t="shared" ref="D14" si="2">C14*B14</f>
        <v>720</v>
      </c>
      <c r="E14" s="7">
        <v>1810</v>
      </c>
      <c r="G14" s="3" t="s">
        <v>8</v>
      </c>
      <c r="H14" s="3">
        <v>0</v>
      </c>
      <c r="I14" s="4">
        <v>25</v>
      </c>
      <c r="J14" s="14">
        <f t="shared" si="0"/>
        <v>0</v>
      </c>
      <c r="K14" s="7">
        <v>0</v>
      </c>
      <c r="M14" s="3" t="s">
        <v>36</v>
      </c>
      <c r="N14" s="3">
        <v>1</v>
      </c>
      <c r="O14" s="4">
        <v>500</v>
      </c>
      <c r="P14" s="14">
        <f t="shared" si="1"/>
        <v>500</v>
      </c>
      <c r="Q14" s="7">
        <v>0</v>
      </c>
    </row>
    <row r="15" spans="1:17" x14ac:dyDescent="0.2">
      <c r="A15" s="3"/>
      <c r="B15" s="3"/>
      <c r="C15" s="4"/>
      <c r="D15" s="14">
        <f t="shared" ref="D15:D23" si="3">C15*B15</f>
        <v>0</v>
      </c>
      <c r="E15" s="7"/>
      <c r="G15" s="3" t="s">
        <v>12</v>
      </c>
      <c r="H15" s="8">
        <v>14</v>
      </c>
      <c r="I15" s="4">
        <v>25</v>
      </c>
      <c r="J15" s="14">
        <f t="shared" si="0"/>
        <v>350</v>
      </c>
      <c r="K15" s="7">
        <v>875</v>
      </c>
      <c r="M15" s="3"/>
      <c r="N15" s="3"/>
      <c r="O15" s="4"/>
      <c r="P15" s="14">
        <f t="shared" si="1"/>
        <v>0</v>
      </c>
      <c r="Q15" s="7"/>
    </row>
    <row r="16" spans="1:17" x14ac:dyDescent="0.2">
      <c r="A16" s="3"/>
      <c r="B16" s="3"/>
      <c r="C16" s="4"/>
      <c r="D16" s="14">
        <f t="shared" si="3"/>
        <v>0</v>
      </c>
      <c r="E16" s="7"/>
      <c r="G16" s="3" t="s">
        <v>14</v>
      </c>
      <c r="H16" s="3">
        <f>B3</f>
        <v>2000</v>
      </c>
      <c r="I16" s="4">
        <v>1.2</v>
      </c>
      <c r="J16" s="14">
        <f t="shared" si="0"/>
        <v>2400</v>
      </c>
      <c r="K16" s="7">
        <v>18590</v>
      </c>
      <c r="M16" s="3"/>
      <c r="N16" s="3"/>
      <c r="O16" s="4"/>
      <c r="P16" s="14">
        <f t="shared" si="1"/>
        <v>0</v>
      </c>
      <c r="Q16" s="7"/>
    </row>
    <row r="17" spans="1:17" x14ac:dyDescent="0.2">
      <c r="A17" s="3"/>
      <c r="B17" s="3"/>
      <c r="C17" s="4"/>
      <c r="D17" s="14">
        <f t="shared" si="3"/>
        <v>0</v>
      </c>
      <c r="E17" s="7"/>
      <c r="G17" s="3" t="s">
        <v>15</v>
      </c>
      <c r="H17" s="3">
        <v>1</v>
      </c>
      <c r="I17" s="4">
        <v>350</v>
      </c>
      <c r="J17" s="14">
        <f t="shared" si="0"/>
        <v>350</v>
      </c>
      <c r="K17" s="7">
        <v>288</v>
      </c>
      <c r="M17" s="3"/>
      <c r="N17" s="3"/>
      <c r="O17" s="4"/>
      <c r="P17" s="14">
        <f t="shared" si="1"/>
        <v>0</v>
      </c>
      <c r="Q17" s="7"/>
    </row>
    <row r="18" spans="1:17" x14ac:dyDescent="0.2">
      <c r="A18" s="3"/>
      <c r="B18" s="3"/>
      <c r="C18" s="4"/>
      <c r="D18" s="14">
        <f t="shared" si="3"/>
        <v>0</v>
      </c>
      <c r="E18" s="7"/>
      <c r="G18" s="3" t="s">
        <v>32</v>
      </c>
      <c r="H18" s="3">
        <v>0</v>
      </c>
      <c r="I18" s="4">
        <v>35</v>
      </c>
      <c r="J18" s="14">
        <f t="shared" si="0"/>
        <v>0</v>
      </c>
      <c r="K18" s="7">
        <v>0</v>
      </c>
      <c r="M18" s="3"/>
      <c r="N18" s="3"/>
      <c r="O18" s="4"/>
      <c r="P18" s="14">
        <f t="shared" si="1"/>
        <v>0</v>
      </c>
      <c r="Q18" s="7"/>
    </row>
    <row r="19" spans="1:17" x14ac:dyDescent="0.2">
      <c r="A19" s="3"/>
      <c r="B19" s="3"/>
      <c r="C19" s="4"/>
      <c r="D19" s="14">
        <f t="shared" si="3"/>
        <v>0</v>
      </c>
      <c r="E19" s="7"/>
      <c r="G19" s="3" t="s">
        <v>47</v>
      </c>
      <c r="H19" s="3">
        <v>0</v>
      </c>
      <c r="I19" s="4">
        <v>275</v>
      </c>
      <c r="J19" s="14">
        <f t="shared" si="0"/>
        <v>0</v>
      </c>
      <c r="K19" s="7">
        <v>275</v>
      </c>
      <c r="M19" s="3"/>
      <c r="N19" s="3"/>
      <c r="O19" s="4"/>
      <c r="P19" s="14">
        <f t="shared" si="1"/>
        <v>0</v>
      </c>
      <c r="Q19" s="7"/>
    </row>
    <row r="20" spans="1:17" x14ac:dyDescent="0.2">
      <c r="A20" s="3"/>
      <c r="B20" s="3"/>
      <c r="C20" s="4"/>
      <c r="D20" s="14">
        <f t="shared" si="3"/>
        <v>0</v>
      </c>
      <c r="E20" s="7"/>
      <c r="G20" s="3"/>
      <c r="H20" s="3"/>
      <c r="I20" s="4"/>
      <c r="J20" s="14">
        <f t="shared" si="0"/>
        <v>0</v>
      </c>
      <c r="K20" s="7"/>
      <c r="M20" s="3"/>
      <c r="N20" s="3"/>
      <c r="O20" s="4"/>
      <c r="P20" s="14">
        <f t="shared" si="1"/>
        <v>0</v>
      </c>
      <c r="Q20" s="7"/>
    </row>
    <row r="21" spans="1:17" x14ac:dyDescent="0.2">
      <c r="A21" s="3"/>
      <c r="B21" s="3"/>
      <c r="C21" s="4"/>
      <c r="D21" s="14">
        <f t="shared" si="3"/>
        <v>0</v>
      </c>
      <c r="E21" s="7"/>
      <c r="G21" s="3"/>
      <c r="H21" s="3"/>
      <c r="I21" s="4"/>
      <c r="J21" s="14">
        <f t="shared" si="0"/>
        <v>0</v>
      </c>
      <c r="K21" s="7"/>
      <c r="M21" s="3"/>
      <c r="N21" s="3"/>
      <c r="O21" s="4"/>
      <c r="P21" s="14">
        <f t="shared" si="1"/>
        <v>0</v>
      </c>
      <c r="Q21" s="7"/>
    </row>
    <row r="22" spans="1:17" x14ac:dyDescent="0.2">
      <c r="A22" s="3"/>
      <c r="B22" s="3"/>
      <c r="C22" s="4"/>
      <c r="D22" s="14">
        <f t="shared" si="3"/>
        <v>0</v>
      </c>
      <c r="E22" s="7"/>
      <c r="G22" s="3"/>
      <c r="H22" s="3"/>
      <c r="I22" s="4"/>
      <c r="J22" s="14"/>
      <c r="K22" s="7"/>
      <c r="M22" s="3"/>
      <c r="N22" s="3"/>
      <c r="O22" s="4"/>
      <c r="P22" s="14"/>
      <c r="Q22" s="7"/>
    </row>
    <row r="23" spans="1:17" x14ac:dyDescent="0.2">
      <c r="A23" s="3"/>
      <c r="B23" s="3"/>
      <c r="C23" s="4"/>
      <c r="D23" s="14">
        <f t="shared" si="3"/>
        <v>0</v>
      </c>
      <c r="E23" s="7"/>
      <c r="G23" s="3"/>
      <c r="H23" s="3"/>
      <c r="I23" s="4"/>
      <c r="J23" s="14"/>
      <c r="K23" s="7"/>
      <c r="M23" s="3"/>
      <c r="N23" s="3"/>
      <c r="O23" s="4"/>
      <c r="P23" s="14"/>
      <c r="Q23" s="7"/>
    </row>
    <row r="24" spans="1:17" x14ac:dyDescent="0.2">
      <c r="C24" s="1"/>
      <c r="D24" s="1"/>
      <c r="E24" s="1"/>
      <c r="I24" s="1"/>
      <c r="J24" s="1"/>
      <c r="K24" s="1"/>
      <c r="O24" s="1"/>
      <c r="P24" s="1"/>
      <c r="Q24" s="1"/>
    </row>
    <row r="25" spans="1:17" x14ac:dyDescent="0.2">
      <c r="C25" s="1"/>
      <c r="D25" s="1"/>
      <c r="E25" s="1"/>
      <c r="I25" s="1"/>
      <c r="J25" s="1"/>
      <c r="K25" s="1"/>
      <c r="O25" s="1"/>
      <c r="P25" s="1"/>
      <c r="Q25" s="1"/>
    </row>
    <row r="26" spans="1:17" x14ac:dyDescent="0.2">
      <c r="D26" s="1"/>
      <c r="E26" s="1"/>
      <c r="J26" s="1"/>
      <c r="K26" s="1"/>
      <c r="O26" s="1"/>
      <c r="P26" s="1"/>
      <c r="Q26" s="1"/>
    </row>
    <row r="27" spans="1:17" x14ac:dyDescent="0.2">
      <c r="D27" s="1"/>
      <c r="E27" s="1"/>
      <c r="J27" s="1"/>
      <c r="K27" s="1"/>
      <c r="P27" s="1"/>
      <c r="Q27" s="1"/>
    </row>
    <row r="28" spans="1:17" x14ac:dyDescent="0.2">
      <c r="D28" s="1"/>
      <c r="E28" s="1"/>
      <c r="J28" s="1"/>
      <c r="K28" s="1"/>
      <c r="P28" s="1"/>
      <c r="Q28" s="1"/>
    </row>
    <row r="29" spans="1:17" x14ac:dyDescent="0.2">
      <c r="D29" s="1"/>
      <c r="E29" s="1"/>
      <c r="J29" s="1"/>
      <c r="K29" s="1"/>
      <c r="P29" s="1"/>
      <c r="Q29" s="1"/>
    </row>
    <row r="30" spans="1:17" x14ac:dyDescent="0.2">
      <c r="D30" s="1"/>
      <c r="E30" s="1"/>
      <c r="J30" s="1"/>
      <c r="K30" s="1"/>
      <c r="P30" s="1"/>
      <c r="Q30" s="1"/>
    </row>
  </sheetData>
  <mergeCells count="4">
    <mergeCell ref="A11:E11"/>
    <mergeCell ref="G11:K11"/>
    <mergeCell ref="M11:Q1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Verkoop</vt:lpstr>
      <vt:lpstr>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van Doornum</dc:creator>
  <cp:lastModifiedBy>Hugo van Doornum</cp:lastModifiedBy>
  <dcterms:created xsi:type="dcterms:W3CDTF">2024-02-22T14:15:38Z</dcterms:created>
  <dcterms:modified xsi:type="dcterms:W3CDTF">2026-02-06T12:49:28Z</dcterms:modified>
</cp:coreProperties>
</file>