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-intelligentie_MIDPRICE" sheetId="1" r:id="rId5"/>
    <sheet state="visible" name="Rechts verpest onze seks" sheetId="2" r:id="rId6"/>
    <sheet state="visible" name="7 regels van vertrouwen" sheetId="3" r:id="rId7"/>
  </sheets>
  <definedNames/>
  <calcPr/>
</workbook>
</file>

<file path=xl/sharedStrings.xml><?xml version="1.0" encoding="utf-8"?>
<sst xmlns="http://schemas.openxmlformats.org/spreadsheetml/2006/main" count="133" uniqueCount="41">
  <si>
    <t>Oplage</t>
  </si>
  <si>
    <t>Bruto marge</t>
  </si>
  <si>
    <t>1e druk</t>
  </si>
  <si>
    <t>2e druk</t>
  </si>
  <si>
    <t>3e druk</t>
  </si>
  <si>
    <t>4e druk</t>
  </si>
  <si>
    <t>webshop</t>
  </si>
  <si>
    <t>retail</t>
  </si>
  <si>
    <t>notes</t>
  </si>
  <si>
    <t>verkoopprijs</t>
  </si>
  <si>
    <t>btw</t>
  </si>
  <si>
    <t>REDACTIE + PRODUCTIE</t>
  </si>
  <si>
    <t>MARKETING</t>
  </si>
  <si>
    <t>ADVERTISING</t>
  </si>
  <si>
    <t>ROYALTY</t>
  </si>
  <si>
    <t>boekhandel</t>
  </si>
  <si>
    <t>Vormgeving</t>
  </si>
  <si>
    <t>netto omzet</t>
  </si>
  <si>
    <t>DTP</t>
  </si>
  <si>
    <t>PKM</t>
  </si>
  <si>
    <t>vertaler</t>
  </si>
  <si>
    <t>Correctie</t>
  </si>
  <si>
    <t>agent</t>
  </si>
  <si>
    <t>adspend</t>
  </si>
  <si>
    <t>marketing</t>
  </si>
  <si>
    <t>b-logic</t>
  </si>
  <si>
    <t>cb</t>
  </si>
  <si>
    <t>transactie</t>
  </si>
  <si>
    <t>TOTAAL</t>
  </si>
  <si>
    <t>redactie</t>
  </si>
  <si>
    <t>wilco</t>
  </si>
  <si>
    <t xml:space="preserve"> </t>
  </si>
  <si>
    <t>Netto p/e</t>
  </si>
  <si>
    <t>Maven</t>
  </si>
  <si>
    <t>bruto marge</t>
  </si>
  <si>
    <t>herdruk</t>
  </si>
  <si>
    <t>0% tot 6000 exx</t>
  </si>
  <si>
    <t>geen paperbackstaffel</t>
  </si>
  <si>
    <t>0 bij herdruk</t>
  </si>
  <si>
    <t>1e druk (2000 exemplaren)</t>
  </si>
  <si>
    <t>korting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</si>
</sst>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color theme="1"/>
      <name val="Arial"/>
    </font>
    <font>
      <b/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3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4" fontId="1" numFmtId="9" xfId="0" applyAlignment="1" applyFont="1" applyNumberFormat="1">
      <alignment horizontal="right" vertical="bottom"/>
    </xf>
    <xf borderId="0" fillId="5" fontId="1" numFmtId="9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5" fontId="1" numFmtId="9" xfId="0" applyAlignment="1" applyFont="1" applyNumberFormat="1">
      <alignment vertical="bottom"/>
    </xf>
    <xf borderId="0" fillId="4" fontId="1" numFmtId="9" xfId="0" applyAlignment="1" applyFont="1" applyNumberFormat="1">
      <alignment readingOrder="0" vertical="bottom"/>
    </xf>
    <xf borderId="0" fillId="5" fontId="1" numFmtId="9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4" fontId="1" numFmtId="9" xfId="0" applyAlignment="1" applyFont="1" applyNumberFormat="1">
      <alignment horizontal="right" readingOrder="0" vertical="bottom"/>
    </xf>
    <xf borderId="0" fillId="5" fontId="1" numFmtId="0" xfId="0" applyAlignment="1" applyFont="1">
      <alignment horizontal="right" vertical="bottom"/>
    </xf>
    <xf borderId="0" fillId="4" fontId="1" numFmtId="10" xfId="0" applyAlignment="1" applyFont="1" applyNumberFormat="1">
      <alignment vertical="bottom"/>
    </xf>
    <xf borderId="0" fillId="5" fontId="1" numFmtId="10" xfId="0" applyAlignment="1" applyFont="1" applyNumberFormat="1">
      <alignment vertical="bottom"/>
    </xf>
    <xf borderId="0" fillId="5" fontId="1" numFmtId="9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4" fontId="2" numFmtId="0" xfId="0" applyFont="1"/>
    <xf borderId="0" fillId="5" fontId="2" numFmtId="0" xfId="0" applyAlignment="1" applyFont="1">
      <alignment readingOrder="0"/>
    </xf>
    <xf borderId="0" fillId="5" fontId="2" numFmtId="0" xfId="0" applyFont="1"/>
    <xf borderId="0" fillId="0" fontId="2" numFmtId="164" xfId="0" applyFont="1" applyNumberFormat="1"/>
    <xf borderId="0" fillId="4" fontId="2" numFmtId="9" xfId="0" applyAlignment="1" applyFont="1" applyNumberFormat="1">
      <alignment readingOrder="0"/>
    </xf>
    <xf borderId="0" fillId="5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4" fontId="4" numFmtId="0" xfId="0" applyFont="1"/>
    <xf borderId="0" fillId="0" fontId="4" numFmtId="164" xfId="0" applyFont="1" applyNumberFormat="1"/>
    <xf borderId="0" fillId="4" fontId="2" numFmtId="0" xfId="0" applyAlignment="1" applyFont="1">
      <alignment readingOrder="0"/>
    </xf>
    <xf borderId="0" fillId="0" fontId="4" numFmtId="10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</row>
    <row r="2">
      <c r="A2" s="1" t="s">
        <v>2</v>
      </c>
      <c r="B2" s="1"/>
      <c r="C2" s="1"/>
      <c r="D2" s="1"/>
      <c r="E2" s="1"/>
      <c r="F2" s="1"/>
    </row>
    <row r="3">
      <c r="A3" s="1" t="s">
        <v>3</v>
      </c>
      <c r="B3" s="1"/>
      <c r="C3" s="1"/>
      <c r="D3" s="1"/>
      <c r="E3" s="1"/>
      <c r="F3" s="1"/>
    </row>
    <row r="4">
      <c r="A4" s="2" t="s">
        <v>4</v>
      </c>
      <c r="B4" s="3"/>
      <c r="C4" s="3"/>
      <c r="D4" s="4"/>
      <c r="E4" s="4"/>
      <c r="F4" s="4"/>
    </row>
    <row r="5">
      <c r="A5" s="2" t="s">
        <v>5</v>
      </c>
      <c r="B5" s="3"/>
      <c r="C5" s="3"/>
      <c r="D5" s="4"/>
      <c r="E5" s="4"/>
      <c r="F5" s="4"/>
    </row>
    <row r="6">
      <c r="A6" s="3"/>
      <c r="B6" s="3"/>
      <c r="C6" s="3"/>
      <c r="D6" s="4"/>
      <c r="E6" s="4"/>
      <c r="F6" s="4"/>
    </row>
    <row r="7">
      <c r="A7" s="3"/>
      <c r="B7" s="3"/>
      <c r="C7" s="3"/>
      <c r="D7" s="4"/>
      <c r="E7" s="4"/>
      <c r="F7" s="4"/>
    </row>
    <row r="8">
      <c r="A8" s="3"/>
      <c r="B8" s="3"/>
      <c r="C8" s="3"/>
      <c r="D8" s="4"/>
      <c r="E8" s="4"/>
      <c r="F8" s="4"/>
    </row>
    <row r="9">
      <c r="A9" s="3" t="s">
        <v>6</v>
      </c>
      <c r="D9" s="4" t="s">
        <v>7</v>
      </c>
      <c r="G9" s="5" t="s">
        <v>8</v>
      </c>
    </row>
    <row r="10">
      <c r="A10" s="6" t="s">
        <v>9</v>
      </c>
      <c r="B10" s="7">
        <v>20.0</v>
      </c>
      <c r="C10" s="8"/>
      <c r="D10" s="6" t="s">
        <v>9</v>
      </c>
      <c r="E10" s="7">
        <v>20.0</v>
      </c>
      <c r="F10" s="9"/>
      <c r="K10" s="2"/>
      <c r="L10" s="2"/>
      <c r="M10" s="2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6"/>
      <c r="B11" s="11"/>
      <c r="C11" s="8"/>
      <c r="D11" s="6"/>
      <c r="E11" s="11"/>
      <c r="F11" s="9"/>
      <c r="K11" s="2"/>
      <c r="L11" s="2"/>
      <c r="M11" s="2"/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6" t="s">
        <v>10</v>
      </c>
      <c r="B12" s="12">
        <f>B10/1.09</f>
        <v>18.34862385</v>
      </c>
      <c r="C12" s="13">
        <v>0.09</v>
      </c>
      <c r="D12" s="6" t="s">
        <v>10</v>
      </c>
      <c r="E12" s="12">
        <f>E10/1.09</f>
        <v>18.34862385</v>
      </c>
      <c r="F12" s="14">
        <v>0.09</v>
      </c>
      <c r="K12" s="2" t="s">
        <v>11</v>
      </c>
      <c r="N12" s="10" t="s">
        <v>12</v>
      </c>
      <c r="Q12" s="10" t="s">
        <v>13</v>
      </c>
      <c r="T12" s="10" t="s">
        <v>14</v>
      </c>
    </row>
    <row r="13">
      <c r="A13" s="6" t="s">
        <v>15</v>
      </c>
      <c r="B13" s="12">
        <v>0.0</v>
      </c>
      <c r="C13" s="13">
        <v>0.0</v>
      </c>
      <c r="D13" s="6" t="s">
        <v>15</v>
      </c>
      <c r="E13" s="12">
        <f>E10*$F13</f>
        <v>9.6</v>
      </c>
      <c r="F13" s="14">
        <v>0.48</v>
      </c>
      <c r="K13" s="15" t="s">
        <v>16</v>
      </c>
      <c r="L13" s="7"/>
      <c r="M13" s="6"/>
      <c r="N13" s="7"/>
      <c r="O13" s="9"/>
    </row>
    <row r="14">
      <c r="A14" s="16" t="s">
        <v>17</v>
      </c>
      <c r="B14" s="17">
        <f>B12</f>
        <v>18.34862385</v>
      </c>
      <c r="C14" s="8"/>
      <c r="D14" s="18" t="s">
        <v>17</v>
      </c>
      <c r="E14" s="17">
        <f>SUM(E12-E13)</f>
        <v>8.748623853</v>
      </c>
      <c r="F14" s="19"/>
      <c r="K14" s="15" t="s">
        <v>18</v>
      </c>
      <c r="L14" s="11"/>
      <c r="M14" s="6"/>
      <c r="N14" s="11"/>
      <c r="O14" s="9"/>
    </row>
    <row r="15">
      <c r="A15" s="6"/>
      <c r="B15" s="11"/>
      <c r="C15" s="8"/>
      <c r="D15" s="6"/>
      <c r="E15" s="11"/>
      <c r="F15" s="19"/>
      <c r="K15" s="15" t="s">
        <v>19</v>
      </c>
      <c r="L15" s="12"/>
      <c r="M15" s="6"/>
      <c r="N15" s="12"/>
      <c r="O15" s="14"/>
    </row>
    <row r="16">
      <c r="A16" s="15" t="s">
        <v>20</v>
      </c>
      <c r="B16" s="12">
        <f t="shared" ref="B16:B17" si="1">$B$12*C16</f>
        <v>0</v>
      </c>
      <c r="C16" s="20">
        <v>0.0</v>
      </c>
      <c r="D16" s="15" t="s">
        <v>20</v>
      </c>
      <c r="E16" s="12">
        <f t="shared" ref="E16:E17" si="2">$E$12*F16</f>
        <v>0</v>
      </c>
      <c r="F16" s="21">
        <v>0.0</v>
      </c>
      <c r="K16" s="15" t="s">
        <v>21</v>
      </c>
      <c r="L16" s="12"/>
      <c r="M16" s="6"/>
      <c r="N16" s="12"/>
      <c r="O16" s="14"/>
    </row>
    <row r="17">
      <c r="A17" s="15" t="s">
        <v>22</v>
      </c>
      <c r="B17" s="12">
        <f t="shared" si="1"/>
        <v>2.018348624</v>
      </c>
      <c r="C17" s="20">
        <v>0.11</v>
      </c>
      <c r="D17" s="15" t="s">
        <v>22</v>
      </c>
      <c r="E17" s="12">
        <f t="shared" si="2"/>
        <v>2.018348624</v>
      </c>
      <c r="F17" s="21">
        <v>0.11</v>
      </c>
      <c r="K17" s="16"/>
      <c r="L17" s="17"/>
      <c r="M17" s="18"/>
      <c r="N17" s="17"/>
      <c r="O17" s="19"/>
    </row>
    <row r="18">
      <c r="A18" s="6"/>
      <c r="B18" s="22"/>
      <c r="C18" s="8"/>
      <c r="D18" s="6"/>
      <c r="E18" s="12"/>
      <c r="F18" s="19"/>
      <c r="K18" s="6"/>
      <c r="L18" s="11"/>
      <c r="M18" s="6"/>
      <c r="N18" s="11"/>
      <c r="O18" s="19"/>
    </row>
    <row r="19">
      <c r="A19" s="6" t="s">
        <v>23</v>
      </c>
      <c r="B19" s="7">
        <v>5.0</v>
      </c>
      <c r="C19" s="8"/>
      <c r="D19" s="6" t="s">
        <v>24</v>
      </c>
      <c r="E19" s="12">
        <v>0.0</v>
      </c>
      <c r="F19" s="19"/>
      <c r="K19" s="15"/>
      <c r="L19" s="12"/>
      <c r="M19" s="15"/>
      <c r="N19" s="12"/>
      <c r="O19" s="21"/>
    </row>
    <row r="20">
      <c r="A20" s="6" t="s">
        <v>25</v>
      </c>
      <c r="B20" s="22">
        <v>4.7</v>
      </c>
      <c r="C20" s="8"/>
      <c r="D20" s="6" t="s">
        <v>26</v>
      </c>
      <c r="E20" s="22">
        <v>1.1</v>
      </c>
      <c r="F20" s="9"/>
      <c r="K20" s="15"/>
      <c r="L20" s="12"/>
      <c r="M20" s="15"/>
      <c r="N20" s="12"/>
      <c r="O20" s="21"/>
    </row>
    <row r="21">
      <c r="A21" s="6" t="s">
        <v>27</v>
      </c>
      <c r="B21" s="12">
        <f>$B10*$C21</f>
        <v>0.2</v>
      </c>
      <c r="C21" s="23">
        <v>0.01</v>
      </c>
      <c r="D21" s="6"/>
      <c r="E21" s="22"/>
      <c r="F21" s="19"/>
      <c r="K21" s="15" t="s">
        <v>28</v>
      </c>
      <c r="L21" s="22"/>
      <c r="M21" s="6"/>
      <c r="N21" s="12"/>
      <c r="O21" s="19"/>
    </row>
    <row r="22">
      <c r="A22" s="6"/>
      <c r="B22" s="6"/>
      <c r="C22" s="8"/>
      <c r="D22" s="6"/>
      <c r="E22" s="6"/>
      <c r="F22" s="9"/>
      <c r="K22" s="6"/>
      <c r="L22" s="7"/>
      <c r="M22" s="6"/>
      <c r="N22" s="12"/>
      <c r="O22" s="19"/>
    </row>
    <row r="23">
      <c r="A23" s="15" t="s">
        <v>29</v>
      </c>
      <c r="B23" s="7">
        <v>0.0</v>
      </c>
      <c r="C23" s="8"/>
      <c r="D23" s="15" t="s">
        <v>29</v>
      </c>
      <c r="E23" s="7">
        <v>0.0</v>
      </c>
      <c r="F23" s="9"/>
      <c r="K23" s="6"/>
      <c r="L23" s="22"/>
      <c r="M23" s="6"/>
      <c r="N23" s="22"/>
      <c r="O23" s="9"/>
    </row>
    <row r="24">
      <c r="A24" s="6" t="s">
        <v>30</v>
      </c>
      <c r="B24" s="22">
        <v>1.2</v>
      </c>
      <c r="C24" s="8"/>
      <c r="D24" s="6" t="s">
        <v>30</v>
      </c>
      <c r="E24" s="22">
        <v>1.2</v>
      </c>
      <c r="F24" s="24"/>
      <c r="G24" s="5" t="s">
        <v>31</v>
      </c>
      <c r="K24" s="6"/>
      <c r="L24" s="12"/>
      <c r="M24" s="6"/>
      <c r="N24" s="22"/>
      <c r="O24" s="19"/>
    </row>
    <row r="25">
      <c r="A25" s="6"/>
      <c r="B25" s="11"/>
      <c r="C25" s="25"/>
      <c r="D25" s="6"/>
      <c r="E25" s="11"/>
      <c r="F25" s="26"/>
      <c r="K25" s="6"/>
      <c r="L25" s="6"/>
      <c r="M25" s="6"/>
      <c r="N25" s="6"/>
      <c r="O25" s="9"/>
    </row>
    <row r="26">
      <c r="A26" s="6"/>
      <c r="B26" s="6"/>
      <c r="C26" s="8"/>
      <c r="D26" s="6"/>
      <c r="E26" s="6"/>
      <c r="F26" s="9"/>
      <c r="K26" s="15"/>
      <c r="L26" s="7"/>
      <c r="M26" s="15"/>
      <c r="N26" s="7"/>
      <c r="O26" s="9"/>
    </row>
    <row r="27">
      <c r="A27" s="6" t="s">
        <v>32</v>
      </c>
      <c r="B27" s="12">
        <f>$B14-SUM(B15:B26)</f>
        <v>5.230275229</v>
      </c>
      <c r="C27" s="8"/>
      <c r="D27" s="6" t="s">
        <v>32</v>
      </c>
      <c r="E27" s="12">
        <f>$E14-SUM(E15:E26)</f>
        <v>4.430275229</v>
      </c>
      <c r="F27" s="9"/>
      <c r="G27" s="5"/>
      <c r="K27" s="6"/>
      <c r="L27" s="22"/>
      <c r="M27" s="6"/>
      <c r="N27" s="22"/>
      <c r="O27" s="24"/>
    </row>
    <row r="28">
      <c r="A28" s="6" t="s">
        <v>33</v>
      </c>
      <c r="B28" s="12">
        <f>$B27*$C28</f>
        <v>2.615137615</v>
      </c>
      <c r="C28" s="23">
        <v>0.5</v>
      </c>
      <c r="D28" s="6" t="s">
        <v>33</v>
      </c>
      <c r="E28" s="12">
        <f>$E27*$F28</f>
        <v>2.215137615</v>
      </c>
      <c r="F28" s="27">
        <v>0.5</v>
      </c>
      <c r="K28" s="6"/>
      <c r="L28" s="11"/>
      <c r="M28" s="6"/>
      <c r="N28" s="11"/>
      <c r="O28" s="26"/>
    </row>
    <row r="29">
      <c r="A29" s="16" t="s">
        <v>34</v>
      </c>
      <c r="B29" s="28">
        <f>B28/B12</f>
        <v>0.142525</v>
      </c>
      <c r="C29" s="6"/>
      <c r="D29" s="16" t="s">
        <v>34</v>
      </c>
      <c r="E29" s="28">
        <f>E28/E14</f>
        <v>0.253198406</v>
      </c>
      <c r="F29" s="6"/>
      <c r="K29" s="6"/>
      <c r="L29" s="6"/>
      <c r="M29" s="6"/>
      <c r="N29" s="6"/>
      <c r="O29" s="9"/>
    </row>
    <row r="30">
      <c r="K30" s="6"/>
      <c r="L30" s="12"/>
      <c r="M30" s="6"/>
      <c r="N30" s="12"/>
      <c r="O30" s="9"/>
    </row>
    <row r="31">
      <c r="A31" s="1" t="s">
        <v>35</v>
      </c>
      <c r="K31" s="6"/>
      <c r="L31" s="12"/>
      <c r="M31" s="6"/>
      <c r="N31" s="12"/>
      <c r="O31" s="27"/>
    </row>
    <row r="32">
      <c r="A32" s="3" t="s">
        <v>6</v>
      </c>
      <c r="D32" s="4" t="s">
        <v>7</v>
      </c>
      <c r="K32" s="16"/>
      <c r="L32" s="28"/>
      <c r="M32" s="6"/>
      <c r="N32" s="16"/>
      <c r="O32" s="28"/>
      <c r="P32" s="6"/>
    </row>
    <row r="33">
      <c r="A33" s="6" t="s">
        <v>9</v>
      </c>
      <c r="B33" s="7">
        <v>20.0</v>
      </c>
      <c r="C33" s="8"/>
      <c r="D33" s="6" t="s">
        <v>9</v>
      </c>
      <c r="E33" s="7">
        <v>20.0</v>
      </c>
      <c r="F33" s="9"/>
    </row>
    <row r="34">
      <c r="A34" s="6"/>
      <c r="B34" s="11"/>
      <c r="C34" s="8"/>
      <c r="D34" s="6"/>
      <c r="E34" s="11"/>
      <c r="F34" s="9"/>
    </row>
    <row r="35">
      <c r="A35" s="6" t="s">
        <v>10</v>
      </c>
      <c r="B35" s="12">
        <f>B33/1.09</f>
        <v>18.34862385</v>
      </c>
      <c r="C35" s="13">
        <v>0.09</v>
      </c>
      <c r="D35" s="6" t="s">
        <v>10</v>
      </c>
      <c r="E35" s="12">
        <f>E33/1.09</f>
        <v>18.34862385</v>
      </c>
      <c r="F35" s="14">
        <v>0.09</v>
      </c>
    </row>
    <row r="36">
      <c r="A36" s="6" t="s">
        <v>15</v>
      </c>
      <c r="B36" s="12">
        <v>0.0</v>
      </c>
      <c r="C36" s="13">
        <v>0.0</v>
      </c>
      <c r="D36" s="6" t="s">
        <v>15</v>
      </c>
      <c r="E36" s="12">
        <f>E33*$F36</f>
        <v>9.6</v>
      </c>
      <c r="F36" s="14">
        <v>0.48</v>
      </c>
    </row>
    <row r="37">
      <c r="A37" s="16" t="s">
        <v>17</v>
      </c>
      <c r="B37" s="17">
        <f>B35</f>
        <v>18.34862385</v>
      </c>
      <c r="C37" s="8"/>
      <c r="D37" s="18" t="s">
        <v>17</v>
      </c>
      <c r="E37" s="17">
        <f>SUM(E35-E36)</f>
        <v>8.748623853</v>
      </c>
      <c r="F37" s="19"/>
    </row>
    <row r="38">
      <c r="A38" s="6"/>
      <c r="B38" s="11"/>
      <c r="C38" s="8"/>
      <c r="D38" s="6"/>
      <c r="E38" s="11"/>
      <c r="F38" s="19"/>
    </row>
    <row r="39">
      <c r="A39" s="15" t="s">
        <v>20</v>
      </c>
      <c r="B39" s="12">
        <f t="shared" ref="B39:B40" si="3">$B$12*C39</f>
        <v>0</v>
      </c>
      <c r="C39" s="20">
        <v>0.0</v>
      </c>
      <c r="D39" s="15" t="s">
        <v>20</v>
      </c>
      <c r="E39" s="12">
        <f t="shared" ref="E39:E40" si="4">$E$12*F39</f>
        <v>0</v>
      </c>
      <c r="F39" s="21">
        <v>0.0</v>
      </c>
      <c r="G39" s="5" t="s">
        <v>36</v>
      </c>
    </row>
    <row r="40">
      <c r="A40" s="15" t="s">
        <v>22</v>
      </c>
      <c r="B40" s="12">
        <f t="shared" si="3"/>
        <v>2.018348624</v>
      </c>
      <c r="C40" s="20">
        <v>0.11</v>
      </c>
      <c r="D40" s="15" t="s">
        <v>22</v>
      </c>
      <c r="E40" s="12">
        <f t="shared" si="4"/>
        <v>2.018348624</v>
      </c>
      <c r="F40" s="21">
        <v>0.11</v>
      </c>
      <c r="G40" s="5" t="s">
        <v>37</v>
      </c>
    </row>
    <row r="41">
      <c r="A41" s="6"/>
      <c r="B41" s="22"/>
      <c r="C41" s="8"/>
      <c r="D41" s="6"/>
      <c r="E41" s="12"/>
      <c r="F41" s="19"/>
    </row>
    <row r="42">
      <c r="A42" s="6" t="s">
        <v>23</v>
      </c>
      <c r="B42" s="22">
        <v>0.0</v>
      </c>
      <c r="C42" s="8"/>
      <c r="D42" s="6" t="s">
        <v>24</v>
      </c>
      <c r="E42" s="12">
        <v>0.0</v>
      </c>
      <c r="F42" s="19"/>
    </row>
    <row r="43">
      <c r="A43" s="6" t="s">
        <v>25</v>
      </c>
      <c r="B43" s="22">
        <v>4.7</v>
      </c>
      <c r="C43" s="8"/>
      <c r="D43" s="6" t="s">
        <v>26</v>
      </c>
      <c r="E43" s="22">
        <v>1.1</v>
      </c>
      <c r="F43" s="9"/>
    </row>
    <row r="44">
      <c r="A44" s="6" t="s">
        <v>27</v>
      </c>
      <c r="B44" s="12">
        <f>$B33*$C44</f>
        <v>0.2</v>
      </c>
      <c r="C44" s="23">
        <v>0.01</v>
      </c>
      <c r="D44" s="6"/>
      <c r="E44" s="22"/>
      <c r="F44" s="19"/>
    </row>
    <row r="45">
      <c r="A45" s="6"/>
      <c r="B45" s="6"/>
      <c r="C45" s="8"/>
      <c r="D45" s="6"/>
      <c r="E45" s="6"/>
      <c r="F45" s="9"/>
    </row>
    <row r="46">
      <c r="A46" s="15" t="s">
        <v>29</v>
      </c>
      <c r="B46" s="7">
        <v>0.0</v>
      </c>
      <c r="C46" s="8"/>
      <c r="D46" s="15" t="s">
        <v>29</v>
      </c>
      <c r="E46" s="7">
        <v>0.0</v>
      </c>
      <c r="F46" s="9"/>
      <c r="G46" s="5" t="s">
        <v>38</v>
      </c>
    </row>
    <row r="47">
      <c r="A47" s="6" t="s">
        <v>30</v>
      </c>
      <c r="B47" s="7">
        <v>2.0</v>
      </c>
      <c r="C47" s="8"/>
      <c r="D47" s="6" t="s">
        <v>30</v>
      </c>
      <c r="E47" s="7">
        <v>2.0</v>
      </c>
      <c r="F47" s="24"/>
    </row>
    <row r="48">
      <c r="A48" s="6"/>
      <c r="B48" s="11"/>
      <c r="C48" s="25"/>
      <c r="D48" s="6"/>
      <c r="E48" s="11"/>
      <c r="F48" s="26"/>
    </row>
    <row r="49">
      <c r="A49" s="6"/>
      <c r="B49" s="6"/>
      <c r="C49" s="8"/>
      <c r="D49" s="6"/>
      <c r="E49" s="6"/>
      <c r="F49" s="9"/>
    </row>
    <row r="50">
      <c r="A50" s="6" t="s">
        <v>32</v>
      </c>
      <c r="B50" s="12">
        <f>$B37-SUM(B38:B49)</f>
        <v>9.430275229</v>
      </c>
      <c r="C50" s="8"/>
      <c r="D50" s="6" t="s">
        <v>32</v>
      </c>
      <c r="E50" s="12">
        <f>$E37-SUM(E38:E49)</f>
        <v>3.630275229</v>
      </c>
      <c r="F50" s="9"/>
    </row>
    <row r="51">
      <c r="A51" s="6" t="s">
        <v>33</v>
      </c>
      <c r="B51" s="12">
        <f>$B50*$C51</f>
        <v>4.715137615</v>
      </c>
      <c r="C51" s="23">
        <v>0.5</v>
      </c>
      <c r="D51" s="6" t="s">
        <v>33</v>
      </c>
      <c r="E51" s="12">
        <f>$E50*$F51</f>
        <v>1.815137615</v>
      </c>
      <c r="F51" s="27">
        <v>0.5</v>
      </c>
    </row>
    <row r="52">
      <c r="A52" s="16" t="s">
        <v>34</v>
      </c>
      <c r="B52" s="28">
        <f>B51/B35</f>
        <v>0.256975</v>
      </c>
      <c r="C52" s="6"/>
      <c r="D52" s="16" t="s">
        <v>34</v>
      </c>
      <c r="E52" s="28">
        <f>E51/E37</f>
        <v>0.2074769295</v>
      </c>
      <c r="F52" s="6"/>
    </row>
  </sheetData>
  <mergeCells count="9">
    <mergeCell ref="A9:C9"/>
    <mergeCell ref="D9:F9"/>
    <mergeCell ref="A31:F31"/>
    <mergeCell ref="A32:C32"/>
    <mergeCell ref="D32:F32"/>
    <mergeCell ref="K12:M12"/>
    <mergeCell ref="Q12:S12"/>
    <mergeCell ref="T12:V12"/>
    <mergeCell ref="N12:P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</row>
    <row r="2">
      <c r="A2" s="3" t="s">
        <v>6</v>
      </c>
      <c r="D2" s="4" t="s">
        <v>7</v>
      </c>
    </row>
    <row r="3">
      <c r="A3" s="6" t="s">
        <v>9</v>
      </c>
      <c r="B3" s="22">
        <v>17.5</v>
      </c>
      <c r="C3" s="8"/>
      <c r="D3" s="6" t="s">
        <v>9</v>
      </c>
      <c r="E3" s="22">
        <v>17.5</v>
      </c>
      <c r="F3" s="9"/>
    </row>
    <row r="4">
      <c r="A4" s="6"/>
      <c r="B4" s="11"/>
      <c r="C4" s="8"/>
      <c r="D4" s="6"/>
      <c r="E4" s="11"/>
      <c r="F4" s="9"/>
    </row>
    <row r="5">
      <c r="A5" s="6" t="s">
        <v>10</v>
      </c>
      <c r="B5" s="12">
        <f>B3/1.09</f>
        <v>16.05504587</v>
      </c>
      <c r="C5" s="13">
        <v>0.09</v>
      </c>
      <c r="D5" s="6" t="s">
        <v>10</v>
      </c>
      <c r="E5" s="12">
        <f>E3/1.09</f>
        <v>16.05504587</v>
      </c>
      <c r="F5" s="14">
        <v>0.09</v>
      </c>
    </row>
    <row r="6">
      <c r="A6" s="6" t="s">
        <v>15</v>
      </c>
      <c r="B6" s="12">
        <v>0.0</v>
      </c>
      <c r="C6" s="13">
        <v>0.0</v>
      </c>
      <c r="D6" s="6" t="s">
        <v>15</v>
      </c>
      <c r="E6" s="12">
        <f>E3*$F6</f>
        <v>8.4</v>
      </c>
      <c r="F6" s="14">
        <v>0.48</v>
      </c>
    </row>
    <row r="7">
      <c r="A7" s="16" t="s">
        <v>17</v>
      </c>
      <c r="B7" s="17">
        <f>B5</f>
        <v>16.05504587</v>
      </c>
      <c r="C7" s="8"/>
      <c r="D7" s="18" t="s">
        <v>17</v>
      </c>
      <c r="E7" s="17">
        <f>SUM(E5-E6)</f>
        <v>7.655045872</v>
      </c>
      <c r="F7" s="19"/>
    </row>
    <row r="8">
      <c r="A8" s="6"/>
      <c r="B8" s="11"/>
      <c r="C8" s="8"/>
      <c r="D8" s="6"/>
      <c r="E8" s="11"/>
      <c r="F8" s="19"/>
    </row>
    <row r="9">
      <c r="A9" s="6" t="s">
        <v>23</v>
      </c>
      <c r="B9" s="22">
        <v>0.0</v>
      </c>
      <c r="C9" s="8"/>
      <c r="D9" s="6" t="s">
        <v>24</v>
      </c>
      <c r="E9" s="12">
        <v>0.0</v>
      </c>
      <c r="F9" s="19"/>
    </row>
    <row r="10">
      <c r="A10" s="6" t="s">
        <v>25</v>
      </c>
      <c r="B10" s="22">
        <v>4.7</v>
      </c>
      <c r="C10" s="8"/>
      <c r="D10" s="6" t="s">
        <v>26</v>
      </c>
      <c r="E10" s="22">
        <v>1.1</v>
      </c>
      <c r="F10" s="9"/>
    </row>
    <row r="11">
      <c r="A11" s="6" t="s">
        <v>27</v>
      </c>
      <c r="B11" s="12">
        <f>$B3*$C11</f>
        <v>0.525</v>
      </c>
      <c r="C11" s="13">
        <v>0.03</v>
      </c>
      <c r="D11" s="6"/>
      <c r="E11" s="22"/>
      <c r="F11" s="19"/>
    </row>
    <row r="12">
      <c r="A12" s="6"/>
      <c r="B12" s="6"/>
      <c r="C12" s="8"/>
      <c r="D12" s="6"/>
      <c r="E12" s="6"/>
      <c r="F12" s="9"/>
    </row>
    <row r="13">
      <c r="A13" s="15" t="s">
        <v>29</v>
      </c>
      <c r="B13" s="7">
        <v>2.6</v>
      </c>
      <c r="C13" s="8"/>
      <c r="D13" s="15" t="s">
        <v>29</v>
      </c>
      <c r="E13" s="7">
        <v>2.6</v>
      </c>
      <c r="F13" s="9"/>
    </row>
    <row r="14">
      <c r="A14" s="6" t="s">
        <v>30</v>
      </c>
      <c r="B14" s="22">
        <v>1.2</v>
      </c>
      <c r="C14" s="8"/>
      <c r="D14" s="6" t="s">
        <v>30</v>
      </c>
      <c r="E14" s="22">
        <v>1.2</v>
      </c>
      <c r="F14" s="24"/>
      <c r="G14" s="5" t="s">
        <v>31</v>
      </c>
    </row>
    <row r="15">
      <c r="A15" s="6"/>
      <c r="B15" s="11"/>
      <c r="C15" s="25"/>
      <c r="D15" s="6"/>
      <c r="E15" s="11"/>
      <c r="F15" s="26"/>
    </row>
    <row r="16">
      <c r="A16" s="6"/>
      <c r="B16" s="6"/>
      <c r="C16" s="8"/>
      <c r="D16" s="6"/>
      <c r="E16" s="6"/>
      <c r="F16" s="9"/>
    </row>
    <row r="17">
      <c r="A17" s="6" t="s">
        <v>32</v>
      </c>
      <c r="B17" s="12">
        <f>$B7-SUM(B8:B16)</f>
        <v>7.030045872</v>
      </c>
      <c r="C17" s="8"/>
      <c r="D17" s="6" t="s">
        <v>32</v>
      </c>
      <c r="E17" s="12">
        <f>$E7-SUM(E8:E16)</f>
        <v>2.755045872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6" t="s">
        <v>33</v>
      </c>
      <c r="B18" s="12">
        <f>$B17*$C18</f>
        <v>3.866525229</v>
      </c>
      <c r="C18" s="13">
        <v>0.55</v>
      </c>
      <c r="D18" s="6" t="s">
        <v>33</v>
      </c>
      <c r="E18" s="12">
        <f>$E17*$F18</f>
        <v>1.515275229</v>
      </c>
      <c r="F18" s="14">
        <v>0.55</v>
      </c>
    </row>
    <row r="19">
      <c r="A19" s="16" t="s">
        <v>34</v>
      </c>
      <c r="B19" s="28">
        <f>B18/B5</f>
        <v>0.2408292857</v>
      </c>
      <c r="C19" s="6"/>
      <c r="D19" s="16" t="s">
        <v>34</v>
      </c>
      <c r="E19" s="28">
        <f>E18/E7</f>
        <v>0.1979446309</v>
      </c>
      <c r="F19" s="6"/>
    </row>
    <row r="21">
      <c r="A21" s="29" t="s">
        <v>35</v>
      </c>
    </row>
    <row r="22">
      <c r="A22" s="30" t="s">
        <v>6</v>
      </c>
      <c r="D22" s="31" t="s">
        <v>7</v>
      </c>
    </row>
    <row r="23">
      <c r="A23" s="5" t="s">
        <v>9</v>
      </c>
      <c r="B23" s="5">
        <v>17.5</v>
      </c>
      <c r="C23" s="32"/>
      <c r="D23" s="5" t="s">
        <v>9</v>
      </c>
      <c r="E23" s="5">
        <v>17.5</v>
      </c>
      <c r="F23" s="33"/>
    </row>
    <row r="24">
      <c r="C24" s="32"/>
      <c r="F24" s="34"/>
    </row>
    <row r="25">
      <c r="A25" s="5" t="s">
        <v>10</v>
      </c>
      <c r="B25" s="35">
        <f>B23/1.09</f>
        <v>16.05504587</v>
      </c>
      <c r="C25" s="36">
        <v>0.09</v>
      </c>
      <c r="D25" s="5" t="s">
        <v>10</v>
      </c>
      <c r="E25" s="35">
        <f>E23/1.09</f>
        <v>16.05504587</v>
      </c>
      <c r="F25" s="37">
        <v>0.09</v>
      </c>
    </row>
    <row r="26">
      <c r="A26" s="5" t="s">
        <v>40</v>
      </c>
      <c r="B26" s="38">
        <v>0.0</v>
      </c>
      <c r="C26" s="36">
        <v>0.0</v>
      </c>
      <c r="D26" s="5" t="s">
        <v>40</v>
      </c>
      <c r="E26" s="35">
        <f>E23*$F26</f>
        <v>8.4</v>
      </c>
      <c r="F26" s="37">
        <v>0.48</v>
      </c>
    </row>
    <row r="27">
      <c r="A27" s="39" t="s">
        <v>17</v>
      </c>
      <c r="B27" s="40">
        <f>B25</f>
        <v>16.05504587</v>
      </c>
      <c r="C27" s="41"/>
      <c r="D27" s="39" t="s">
        <v>17</v>
      </c>
      <c r="E27" s="42">
        <f>SUM(E25-E26)</f>
        <v>7.655045872</v>
      </c>
      <c r="F27" s="37"/>
    </row>
    <row r="28">
      <c r="A28" s="5"/>
      <c r="B28" s="5"/>
      <c r="C28" s="32"/>
      <c r="E28" s="35"/>
      <c r="F28" s="37"/>
    </row>
    <row r="29">
      <c r="A29" s="5" t="s">
        <v>23</v>
      </c>
      <c r="B29" s="5">
        <v>0.0</v>
      </c>
      <c r="C29" s="32"/>
      <c r="D29" s="5" t="s">
        <v>24</v>
      </c>
      <c r="E29" s="38">
        <v>0.0</v>
      </c>
      <c r="F29" s="37"/>
    </row>
    <row r="30">
      <c r="A30" s="5" t="s">
        <v>25</v>
      </c>
      <c r="B30" s="5">
        <v>4.7</v>
      </c>
      <c r="C30" s="32"/>
      <c r="D30" s="5" t="s">
        <v>26</v>
      </c>
      <c r="E30" s="5">
        <v>1.1</v>
      </c>
      <c r="F30" s="34"/>
    </row>
    <row r="31">
      <c r="A31" s="5" t="s">
        <v>27</v>
      </c>
      <c r="B31" s="38">
        <f>$B23*$C31</f>
        <v>0.525</v>
      </c>
      <c r="C31" s="36">
        <v>0.03</v>
      </c>
      <c r="F31" s="37"/>
    </row>
    <row r="32">
      <c r="C32" s="32"/>
      <c r="F32" s="34"/>
    </row>
    <row r="33">
      <c r="A33" s="15" t="s">
        <v>29</v>
      </c>
      <c r="B33" s="5">
        <v>0.0</v>
      </c>
      <c r="C33" s="32"/>
      <c r="D33" s="15" t="s">
        <v>29</v>
      </c>
      <c r="E33" s="5">
        <v>0.0</v>
      </c>
      <c r="F33" s="34"/>
      <c r="G33" s="5" t="s">
        <v>38</v>
      </c>
    </row>
    <row r="34">
      <c r="A34" s="5" t="s">
        <v>30</v>
      </c>
      <c r="B34" s="5">
        <v>1.2</v>
      </c>
      <c r="C34" s="43"/>
      <c r="D34" s="5" t="s">
        <v>30</v>
      </c>
      <c r="E34" s="5">
        <v>1.2</v>
      </c>
      <c r="F34" s="33">
        <v>1.2</v>
      </c>
    </row>
    <row r="35">
      <c r="C35" s="32"/>
      <c r="F35" s="34"/>
    </row>
    <row r="36">
      <c r="C36" s="32"/>
      <c r="F36" s="34"/>
    </row>
    <row r="37">
      <c r="A37" s="5" t="s">
        <v>32</v>
      </c>
      <c r="B37" s="35">
        <f>$B27-SUM(B28:B36)</f>
        <v>9.630045872</v>
      </c>
      <c r="C37" s="32"/>
      <c r="D37" s="5" t="s">
        <v>32</v>
      </c>
      <c r="E37" s="35">
        <f>$E27-SUM(E28:E36)</f>
        <v>5.355045872</v>
      </c>
      <c r="F37" s="34"/>
    </row>
    <row r="38">
      <c r="A38" s="5" t="s">
        <v>33</v>
      </c>
      <c r="B38" s="35">
        <f>$B37*$C38</f>
        <v>5.296525229</v>
      </c>
      <c r="C38" s="36">
        <v>0.55</v>
      </c>
      <c r="D38" s="5" t="s">
        <v>33</v>
      </c>
      <c r="E38" s="35">
        <f>$E37*$F38</f>
        <v>2.945275229</v>
      </c>
      <c r="F38" s="37">
        <v>0.55</v>
      </c>
    </row>
    <row r="39">
      <c r="A39" s="39" t="s">
        <v>34</v>
      </c>
      <c r="B39" s="44">
        <f>B38/B25</f>
        <v>0.3298978571</v>
      </c>
      <c r="C39" s="45"/>
      <c r="D39" s="39" t="s">
        <v>34</v>
      </c>
      <c r="E39" s="44">
        <f>E38/E27</f>
        <v>0.3847495206</v>
      </c>
    </row>
  </sheetData>
  <mergeCells count="6">
    <mergeCell ref="A21:F21"/>
    <mergeCell ref="D22:F22"/>
    <mergeCell ref="A22:C22"/>
    <mergeCell ref="A1:F1"/>
    <mergeCell ref="A2:C2"/>
    <mergeCell ref="D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